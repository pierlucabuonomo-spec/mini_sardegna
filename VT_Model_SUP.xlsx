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abee2\Desktop\mini_sardegna\MODELLO\"/>
    </mc:Choice>
  </mc:AlternateContent>
  <xr:revisionPtr revIDLastSave="0" documentId="13_ncr:1_{3055DF6D-DEF0-4DCB-A220-B0BB47C7A089}" xr6:coauthVersionLast="47" xr6:coauthVersionMax="47" xr10:uidLastSave="{00000000-0000-0000-0000-000000000000}"/>
  <bookViews>
    <workbookView xWindow="-105" yWindow="0" windowWidth="26010" windowHeight="20985" activeTab="2" xr2:uid="{00000000-000D-0000-FFFF-FFFF00000000}"/>
  </bookViews>
  <sheets>
    <sheet name="SEC_Comm" sheetId="1" r:id="rId1"/>
    <sheet name="sec_processes" sheetId="2" r:id="rId2"/>
    <sheet name="MIN_IM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D8" i="3"/>
  <c r="D10" i="3" l="1"/>
  <c r="C10" i="3"/>
  <c r="B10" i="3"/>
  <c r="B9" i="3"/>
  <c r="C9" i="3"/>
  <c r="D9" i="3"/>
  <c r="D7" i="3" l="1"/>
  <c r="B7" i="3"/>
  <c r="C8" i="3"/>
  <c r="B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92788747-EFAA-421F-846F-056815A40557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8919B8DC-73F1-40D7-BD31-7AD18053CA52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16F281D4-A26E-4529-9883-BAB8258A2CE4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ABDD369-AB49-4335-B9D0-3FC0F7566ADC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4F31DA5F-95AA-458D-A74F-C969A42CAFA7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69AB4603-2C3D-4A0D-B8C8-F9F7B6B361CD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F23F6217-A79E-464A-83C0-AFB15261D903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CF802BC9-0906-48F9-A54E-852FBA8E6A83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2973B71B-8F81-4B34-ABF8-CA0C95DADCF4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<sst xmlns="http://schemas.openxmlformats.org/spreadsheetml/2006/main" count="133" uniqueCount="106">
  <si>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</si>
  <si>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</si>
  <si>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</si>
  <si>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</si>
  <si>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</si>
  <si>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</si>
  <si>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</si>
  <si>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</si>
  <si>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</si>
  <si>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</si>
  <si>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</si>
  <si>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</si>
  <si>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</si>
  <si>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</si>
  <si>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</si>
  <si>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</si>
  <si>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</si>
  <si>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</si>
  <si>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PJ</t>
  </si>
  <si>
    <t>WIND-ON</t>
  </si>
  <si>
    <t>Onshore Wind Energy</t>
  </si>
  <si>
    <t>SOLAR</t>
  </si>
  <si>
    <t>Solar Energy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</si>
  <si>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</si>
  <si>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</si>
  <si>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</si>
  <si>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</si>
  <si>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</si>
  <si>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</si>
  <si>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</si>
  <si>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</si>
  <si>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</si>
  <si>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</si>
  <si>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</si>
  <si>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</si>
  <si>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</si>
  <si>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</si>
  <si>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</si>
  <si>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</si>
  <si>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</si>
  <si>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</si>
  <si>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</si>
  <si>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</si>
  <si>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</si>
  <si>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</si>
  <si>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</si>
  <si>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</si>
  <si>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</si>
  <si>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</si>
  <si>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</si>
  <si>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</si>
  <si>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</si>
  <si>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</si>
  <si>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</si>
  <si>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Solar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</si>
  <si>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</si>
  <si>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</si>
  <si>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</si>
  <si>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</si>
  <si>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</si>
  <si>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</si>
  <si>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</si>
  <si>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</si>
  <si>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</si>
  <si>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</si>
  <si>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</si>
  <si>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Demand Type Commodity at Output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</si>
  <si>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</si>
  <si>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</si>
  <si>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</si>
  <si>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</si>
  <si>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</si>
  <si>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</si>
  <si>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</si>
  <si>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</si>
  <si>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</si>
  <si>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</si>
  <si>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</si>
  <si>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</si>
  <si>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COST</t>
  </si>
  <si>
    <t>ACT_BND~UP</t>
  </si>
  <si>
    <t>ACT_BND~FX</t>
  </si>
  <si>
    <t>ACT_BND~LO</t>
  </si>
  <si>
    <t>\I: Technology Name</t>
  </si>
  <si>
    <t>Output Commodity</t>
  </si>
  <si>
    <t>Annual Extraction Upper Bound [PJ/a]</t>
  </si>
  <si>
    <t>Annual Extraction Fixed Bound [PJ/a]</t>
  </si>
  <si>
    <t>Annual Extraction Lower Bound [PJ/a]</t>
  </si>
  <si>
    <r>
      <t>-&gt;
Example of assignment of attribute values in all model years (</t>
    </r>
    <r>
      <rPr>
        <b/>
        <sz val="12"/>
        <rFont val="Arial"/>
        <family val="2"/>
        <charset val="238"/>
      </rPr>
      <t>cumbersome to maintain</t>
    </r>
    <r>
      <rPr>
        <sz val="12"/>
        <rFont val="Arial"/>
        <family val="2"/>
        <charset val="238"/>
      </rPr>
      <t>)</t>
    </r>
  </si>
  <si>
    <t xml:space="preserve">&lt;-
Only baseline price here.
Actual forecast of fuel prices in future years is in the scenario file "FUEL_PRICE_PROJ".		</t>
  </si>
  <si>
    <t>Alternative syntax with LimType Attribute</t>
  </si>
  <si>
    <t>SAR</t>
  </si>
  <si>
    <t>Syngas_Res</t>
  </si>
  <si>
    <t>Extraction Cost [MEUR/PJ]</t>
  </si>
  <si>
    <t>&lt;- supply of biomass from two different sources</t>
  </si>
  <si>
    <t>OILGAS</t>
  </si>
  <si>
    <t>Industrial synthesis gas derived from oil refinery by-products</t>
  </si>
  <si>
    <t>ANNUAL</t>
  </si>
  <si>
    <t>IMP_NLG</t>
  </si>
  <si>
    <t>NLG</t>
  </si>
  <si>
    <t>Natural Liquid Gas</t>
  </si>
  <si>
    <t>\I:</t>
  </si>
  <si>
    <t>MIN_SOLAR</t>
  </si>
  <si>
    <t>MIN_WIND_ON</t>
  </si>
  <si>
    <t>Wind</t>
  </si>
  <si>
    <t>IMP_OILGAS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</si>
</sst>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7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  <charset val="238"/>
    </font>
    <font>
      <sz val="10"/>
      <color theme="0"/>
      <name val="Arial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name val="Arial"/>
      <family val="2"/>
    </font>
    <font>
      <b/>
      <sz val="8"/>
      <color indexed="12"/>
      <name val="Arial"/>
      <family val="2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71">
    <xf numFmtId="0" fontId="0" fillId="0" borderId="0" xfId="0"/>
    <xf numFmtId="0" fontId="1" fillId="2" borderId="0" xfId="0" quotePrefix="1" applyFont="1" applyFill="1"/>
    <xf numFmtId="0" fontId="2" fillId="2" borderId="0" xfId="0" applyFont="1" applyFill="1"/>
    <xf numFmtId="0" fontId="3" fillId="0" borderId="0" xfId="0" applyFont="1"/>
    <xf numFmtId="164" fontId="4" fillId="0" borderId="0" xfId="0" applyNumberFormat="1" applyFont="1"/>
    <xf numFmtId="164" fontId="3" fillId="0" borderId="0" xfId="0" applyNumberFormat="1" applyFont="1"/>
    <xf numFmtId="164" fontId="5" fillId="3" borderId="1" xfId="0" applyNumberFormat="1" applyFont="1" applyFill="1" applyBorder="1" applyAlignment="1">
      <alignment horizontal="center" vertical="center"/>
    </xf>
    <xf numFmtId="164" fontId="3" fillId="4" borderId="1" xfId="1" applyNumberFormat="1" applyFill="1" applyBorder="1" applyAlignment="1">
      <alignment horizontal="center" vertical="center" wrapText="1"/>
    </xf>
    <xf numFmtId="164" fontId="6" fillId="5" borderId="0" xfId="0" applyNumberFormat="1" applyFont="1" applyFill="1"/>
    <xf numFmtId="164" fontId="3" fillId="5" borderId="0" xfId="0" applyNumberFormat="1" applyFont="1" applyFill="1"/>
    <xf numFmtId="164" fontId="0" fillId="5" borderId="0" xfId="0" applyNumberFormat="1" applyFill="1"/>
    <xf numFmtId="164" fontId="6" fillId="6" borderId="0" xfId="0" applyNumberFormat="1" applyFont="1" applyFill="1"/>
    <xf numFmtId="164" fontId="3" fillId="6" borderId="0" xfId="0" applyNumberFormat="1" applyFont="1" applyFill="1"/>
    <xf numFmtId="164" fontId="0" fillId="6" borderId="0" xfId="0" quotePrefix="1" applyNumberFormat="1" applyFill="1" applyAlignment="1">
      <alignment horizontal="left"/>
    </xf>
    <xf numFmtId="164" fontId="0" fillId="6" borderId="0" xfId="0" applyNumberFormat="1" applyFill="1"/>
    <xf numFmtId="164" fontId="0" fillId="6" borderId="0" xfId="0" applyNumberFormat="1" applyFill="1" applyAlignment="1">
      <alignment horizontal="left"/>
    </xf>
    <xf numFmtId="0" fontId="6" fillId="0" borderId="0" xfId="0" applyFont="1"/>
    <xf numFmtId="0" fontId="6" fillId="8" borderId="4" xfId="0" applyFont="1" applyFill="1" applyBorder="1"/>
    <xf numFmtId="0" fontId="6" fillId="9" borderId="0" xfId="0" applyFont="1" applyFill="1"/>
    <xf numFmtId="0" fontId="6" fillId="8" borderId="0" xfId="0" applyFont="1" applyFill="1"/>
    <xf numFmtId="0" fontId="6" fillId="8" borderId="5" xfId="0" applyFont="1" applyFill="1" applyBorder="1"/>
    <xf numFmtId="0" fontId="1" fillId="2" borderId="0" xfId="0" applyFont="1" applyFill="1"/>
    <xf numFmtId="164" fontId="0" fillId="0" borderId="0" xfId="0" applyNumberFormat="1"/>
    <xf numFmtId="0" fontId="1" fillId="2" borderId="6" xfId="2" quotePrefix="1" applyFont="1" applyFill="1" applyBorder="1" applyAlignment="1">
      <alignment horizontal="left"/>
    </xf>
    <xf numFmtId="0" fontId="12" fillId="0" borderId="0" xfId="2" applyFont="1" applyAlignment="1">
      <alignment horizontal="right"/>
    </xf>
    <xf numFmtId="0" fontId="6" fillId="0" borderId="0" xfId="2"/>
    <xf numFmtId="3" fontId="12" fillId="0" borderId="0" xfId="2" applyNumberFormat="1" applyFont="1" applyAlignment="1">
      <alignment horizontal="left"/>
    </xf>
    <xf numFmtId="0" fontId="13" fillId="0" borderId="0" xfId="2" applyFont="1"/>
    <xf numFmtId="0" fontId="0" fillId="0" borderId="0" xfId="2" applyFont="1"/>
    <xf numFmtId="0" fontId="4" fillId="0" borderId="6" xfId="2" applyFont="1" applyBorder="1" applyAlignment="1">
      <alignment horizontal="left"/>
    </xf>
    <xf numFmtId="0" fontId="12" fillId="0" borderId="6" xfId="2" applyFont="1" applyBorder="1" applyAlignment="1">
      <alignment horizontal="right"/>
    </xf>
    <xf numFmtId="0" fontId="6" fillId="0" borderId="6" xfId="2" applyBorder="1"/>
    <xf numFmtId="0" fontId="6" fillId="0" borderId="6" xfId="2" applyBorder="1" applyAlignment="1">
      <alignment horizontal="left" vertical="center"/>
    </xf>
    <xf numFmtId="0" fontId="6" fillId="0" borderId="0" xfId="2" applyAlignment="1">
      <alignment horizontal="left" vertical="center"/>
    </xf>
    <xf numFmtId="0" fontId="3" fillId="0" borderId="0" xfId="2" applyFont="1"/>
    <xf numFmtId="0" fontId="3" fillId="5" borderId="0" xfId="0" quotePrefix="1" applyFont="1" applyFill="1" applyAlignment="1">
      <alignment horizontal="left"/>
    </xf>
    <xf numFmtId="0" fontId="3" fillId="5" borderId="0" xfId="0" quotePrefix="1" applyFont="1" applyFill="1"/>
    <xf numFmtId="2" fontId="3" fillId="5" borderId="0" xfId="0" applyNumberFormat="1" applyFont="1" applyFill="1" applyAlignment="1">
      <alignment horizontal="right"/>
    </xf>
    <xf numFmtId="1" fontId="3" fillId="5" borderId="0" xfId="0" applyNumberFormat="1" applyFont="1" applyFill="1" applyAlignment="1">
      <alignment horizontal="right"/>
    </xf>
    <xf numFmtId="0" fontId="3" fillId="6" borderId="0" xfId="0" quotePrefix="1" applyFont="1" applyFill="1" applyAlignment="1">
      <alignment horizontal="left"/>
    </xf>
    <xf numFmtId="2" fontId="3" fillId="6" borderId="0" xfId="0" applyNumberFormat="1" applyFont="1" applyFill="1" applyAlignment="1">
      <alignment horizontal="right"/>
    </xf>
    <xf numFmtId="1" fontId="3" fillId="6" borderId="0" xfId="0" applyNumberFormat="1" applyFont="1" applyFill="1" applyAlignment="1">
      <alignment horizontal="right"/>
    </xf>
    <xf numFmtId="0" fontId="3" fillId="6" borderId="0" xfId="0" quotePrefix="1" applyFont="1" applyFill="1"/>
    <xf numFmtId="0" fontId="16" fillId="0" borderId="0" xfId="0" applyFont="1"/>
    <xf numFmtId="164" fontId="6" fillId="0" borderId="0" xfId="0" applyNumberFormat="1" applyFont="1"/>
    <xf numFmtId="164" fontId="0" fillId="0" borderId="0" xfId="0" quotePrefix="1" applyNumberFormat="1" applyAlignment="1">
      <alignment horizontal="left"/>
    </xf>
    <xf numFmtId="0" fontId="0" fillId="5" borderId="0" xfId="0" applyFill="1"/>
    <xf numFmtId="164" fontId="3" fillId="5" borderId="13" xfId="0" applyNumberFormat="1" applyFont="1" applyFill="1" applyBorder="1"/>
    <xf numFmtId="164" fontId="6" fillId="5" borderId="13" xfId="0" applyNumberFormat="1" applyFont="1" applyFill="1" applyBorder="1"/>
    <xf numFmtId="164" fontId="0" fillId="5" borderId="13" xfId="0" applyNumberFormat="1" applyFill="1" applyBorder="1"/>
    <xf numFmtId="0" fontId="0" fillId="6" borderId="0" xfId="0" applyFill="1"/>
    <xf numFmtId="164" fontId="0" fillId="5" borderId="13" xfId="0" quotePrefix="1" applyNumberFormat="1" applyFill="1" applyBorder="1" applyAlignment="1">
      <alignment horizontal="left"/>
    </xf>
    <xf numFmtId="0" fontId="6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 wrapText="1"/>
    </xf>
    <xf numFmtId="0" fontId="14" fillId="10" borderId="11" xfId="0" applyFont="1" applyFill="1" applyBorder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14" fillId="10" borderId="7" xfId="2" quotePrefix="1" applyFont="1" applyFill="1" applyBorder="1" applyAlignment="1">
      <alignment horizontal="center" vertical="center" wrapText="1"/>
    </xf>
    <xf numFmtId="0" fontId="14" fillId="10" borderId="4" xfId="2" applyFont="1" applyFill="1" applyBorder="1" applyAlignment="1">
      <alignment horizontal="center" vertical="center"/>
    </xf>
    <xf numFmtId="0" fontId="14" fillId="10" borderId="8" xfId="2" applyFont="1" applyFill="1" applyBorder="1" applyAlignment="1">
      <alignment horizontal="center" vertical="center"/>
    </xf>
    <xf numFmtId="0" fontId="14" fillId="10" borderId="9" xfId="2" applyFont="1" applyFill="1" applyBorder="1" applyAlignment="1">
      <alignment horizontal="center" vertical="center"/>
    </xf>
    <xf numFmtId="0" fontId="14" fillId="10" borderId="2" xfId="2" applyFont="1" applyFill="1" applyBorder="1" applyAlignment="1">
      <alignment horizontal="center" vertical="center"/>
    </xf>
    <xf numFmtId="0" fontId="14" fillId="10" borderId="10" xfId="2" applyFont="1" applyFill="1" applyBorder="1" applyAlignment="1">
      <alignment horizontal="center" vertical="center"/>
    </xf>
  </cellXfs>
  <cellStyles count="3">
    <cellStyle name="Normal 10" xfId="1" xr:uid="{440C4617-FDFE-4850-B05E-20000A760AB4}"/>
    <cellStyle name="Normal_MIN" xfId="2" xr:uid="{248F4307-1D39-41EB-A2C5-8E1326E5844C}"/>
    <cellStyle name="Normale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0"/>
  <sheetViews>
    <sheetView zoomScale="120" zoomScaleNormal="166" workbookViewId="0">
      <selection activeCell="C30" sqref="C30"/>
    </sheetView>
  </sheetViews>
  <sheetFormatPr defaultRowHeight="15" x14ac:dyDescent="0.25"/>
  <cols>
    <col min="3" max="3" width="25.85546875" customWidth="1"/>
    <col min="4" max="4" width="25.5703125" customWidth="1"/>
    <col min="6" max="6" width="12.42578125" customWidth="1"/>
    <col min="7" max="7" width="13.7109375" customWidth="1"/>
    <col min="8" max="8" width="13.28515625" customWidth="1"/>
    <col min="9" max="9" width="16.140625" customWidth="1"/>
  </cols>
  <sheetData>
    <row r="2" spans="2:9" ht="18" x14ac:dyDescent="0.25">
      <c r="B2" s="1" t="s">
        <v>0</v>
      </c>
      <c r="C2" s="2"/>
      <c r="D2" s="2"/>
      <c r="E2" s="3"/>
      <c r="F2" s="3"/>
      <c r="G2" s="3"/>
      <c r="H2" s="3"/>
      <c r="I2" s="3"/>
    </row>
    <row r="3" spans="2:9" x14ac:dyDescent="0.25">
      <c r="D3" s="3"/>
      <c r="E3" s="3"/>
      <c r="F3" s="3"/>
      <c r="G3" s="3"/>
      <c r="H3" s="3"/>
      <c r="I3" s="3"/>
    </row>
    <row r="4" spans="2:9" x14ac:dyDescent="0.25">
      <c r="B4" s="4" t="s">
        <v>1</v>
      </c>
      <c r="C4" s="5"/>
      <c r="D4" s="5"/>
      <c r="E4" s="5"/>
      <c r="F4" s="5"/>
      <c r="G4" s="5"/>
      <c r="H4" s="5"/>
      <c r="I4" s="5"/>
    </row>
    <row r="5" spans="2:9" x14ac:dyDescent="0.25"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</row>
    <row r="6" spans="2:9" ht="38.25" x14ac:dyDescent="0.25">
      <c r="B6" s="7" t="s">
        <v>10</v>
      </c>
      <c r="C6" s="7" t="s">
        <v>11</v>
      </c>
      <c r="D6" s="7" t="s">
        <v>12</v>
      </c>
      <c r="E6" s="7" t="s">
        <v>5</v>
      </c>
      <c r="F6" s="7" t="s">
        <v>13</v>
      </c>
      <c r="G6" s="7" t="s">
        <v>14</v>
      </c>
      <c r="H6" s="7" t="s">
        <v>15</v>
      </c>
      <c r="I6" s="7" t="s">
        <v>16</v>
      </c>
    </row>
    <row r="7" spans="2:9" x14ac:dyDescent="0.25">
      <c r="B7" s="11" t="s">
        <v>17</v>
      </c>
      <c r="C7" s="12" t="s">
        <v>95</v>
      </c>
      <c r="D7" s="11" t="s">
        <v>92</v>
      </c>
      <c r="E7" s="13" t="s">
        <v>18</v>
      </c>
      <c r="F7" s="14"/>
      <c r="G7" s="14"/>
      <c r="H7" s="14"/>
      <c r="I7" s="14"/>
    </row>
    <row r="8" spans="2:9" x14ac:dyDescent="0.25">
      <c r="B8" s="44" t="s">
        <v>17</v>
      </c>
      <c r="C8" s="5" t="s">
        <v>99</v>
      </c>
      <c r="D8" s="44" t="s">
        <v>100</v>
      </c>
      <c r="E8" s="45" t="s">
        <v>18</v>
      </c>
      <c r="F8" s="22"/>
      <c r="G8" s="22"/>
      <c r="H8" s="22"/>
      <c r="I8" s="22"/>
    </row>
    <row r="9" spans="2:9" x14ac:dyDescent="0.25">
      <c r="B9" s="11" t="s">
        <v>17</v>
      </c>
      <c r="C9" s="12" t="s">
        <v>19</v>
      </c>
      <c r="D9" s="11" t="s">
        <v>20</v>
      </c>
      <c r="E9" s="15" t="s">
        <v>18</v>
      </c>
      <c r="F9" s="14"/>
      <c r="G9" s="14"/>
      <c r="H9" s="14"/>
      <c r="I9" s="14"/>
    </row>
    <row r="10" spans="2:9" x14ac:dyDescent="0.25">
      <c r="B10" s="11" t="s">
        <v>17</v>
      </c>
      <c r="C10" s="12" t="s">
        <v>21</v>
      </c>
      <c r="D10" s="11" t="s">
        <v>22</v>
      </c>
      <c r="E10" s="15" t="s">
        <v>18</v>
      </c>
      <c r="F10" s="14"/>
      <c r="G10" s="14"/>
      <c r="H10" s="14"/>
      <c r="I10" s="14"/>
    </row>
    <row r="12" spans="2:9" x14ac:dyDescent="0.25">
      <c r="B12" s="16"/>
      <c r="C12" s="16"/>
      <c r="E12" s="16"/>
      <c r="G12" s="43"/>
    </row>
    <row r="15" spans="2:9" ht="15.75" thickBot="1" x14ac:dyDescent="0.3">
      <c r="B15" s="55" t="s">
        <v>23</v>
      </c>
      <c r="C15" s="55"/>
    </row>
    <row r="16" spans="2:9" x14ac:dyDescent="0.25">
      <c r="B16" s="17" t="s">
        <v>17</v>
      </c>
      <c r="C16" s="17" t="s">
        <v>24</v>
      </c>
    </row>
    <row r="17" spans="2:3" x14ac:dyDescent="0.25">
      <c r="B17" s="18" t="s">
        <v>25</v>
      </c>
      <c r="C17" s="18" t="s">
        <v>26</v>
      </c>
    </row>
    <row r="18" spans="2:3" x14ac:dyDescent="0.25">
      <c r="B18" s="19" t="s">
        <v>27</v>
      </c>
      <c r="C18" s="19" t="s">
        <v>28</v>
      </c>
    </row>
    <row r="19" spans="2:3" x14ac:dyDescent="0.25">
      <c r="B19" s="18" t="s">
        <v>29</v>
      </c>
      <c r="C19" s="18" t="s">
        <v>30</v>
      </c>
    </row>
    <row r="20" spans="2:3" ht="15.75" thickBot="1" x14ac:dyDescent="0.3">
      <c r="B20" s="20" t="s">
        <v>31</v>
      </c>
      <c r="C20" s="20" t="s">
        <v>32</v>
      </c>
    </row>
  </sheetData>
  <mergeCells count="1">
    <mergeCell ref="B15:C1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9809-96AE-45E6-908D-D2FFE50FA40C}">
  <dimension ref="B2:P24"/>
  <sheetViews>
    <sheetView zoomScale="83" zoomScaleNormal="70" workbookViewId="0">
      <selection activeCell="E34" sqref="E34"/>
    </sheetView>
  </sheetViews>
  <sheetFormatPr defaultRowHeight="15" x14ac:dyDescent="0.25"/>
  <cols>
    <col min="3" max="3" width="25.140625" customWidth="1"/>
    <col min="4" max="4" width="33.5703125" customWidth="1"/>
    <col min="5" max="5" width="34.7109375" customWidth="1"/>
    <col min="9" max="9" width="11.5703125" customWidth="1"/>
  </cols>
  <sheetData>
    <row r="2" spans="2:16" ht="18" x14ac:dyDescent="0.25">
      <c r="B2" s="1" t="s">
        <v>33</v>
      </c>
      <c r="C2" s="21"/>
      <c r="D2" s="21"/>
    </row>
    <row r="4" spans="2:16" x14ac:dyDescent="0.25">
      <c r="B4" s="4" t="s">
        <v>34</v>
      </c>
      <c r="C4" s="4"/>
      <c r="D4" s="22"/>
      <c r="E4" s="22"/>
      <c r="F4" s="22"/>
      <c r="G4" s="22"/>
      <c r="H4" s="22"/>
      <c r="I4" s="22"/>
      <c r="J4" s="22"/>
    </row>
    <row r="5" spans="2:16" x14ac:dyDescent="0.25"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</row>
    <row r="6" spans="2:16" ht="38.25" x14ac:dyDescent="0.25">
      <c r="B6" s="7" t="s">
        <v>44</v>
      </c>
      <c r="C6" s="7" t="s">
        <v>45</v>
      </c>
      <c r="D6" s="7" t="s">
        <v>46</v>
      </c>
      <c r="E6" s="7" t="s">
        <v>47</v>
      </c>
      <c r="F6" s="7" t="s">
        <v>48</v>
      </c>
      <c r="G6" s="7" t="s">
        <v>49</v>
      </c>
      <c r="H6" s="7" t="s">
        <v>14</v>
      </c>
      <c r="I6" s="7" t="s">
        <v>50</v>
      </c>
      <c r="J6" s="7" t="s">
        <v>51</v>
      </c>
    </row>
    <row r="7" spans="2:16" x14ac:dyDescent="0.25">
      <c r="B7" s="8" t="s">
        <v>53</v>
      </c>
      <c r="C7" s="9" t="s">
        <v>91</v>
      </c>
      <c r="D7" s="8" t="s">
        <v>105</v>
      </c>
      <c r="E7" s="50" t="s">
        <v>96</v>
      </c>
      <c r="F7" s="10" t="s">
        <v>18</v>
      </c>
      <c r="G7" s="10"/>
      <c r="H7" s="10" t="s">
        <v>97</v>
      </c>
      <c r="I7" s="10"/>
      <c r="J7" s="10"/>
      <c r="L7" s="52" t="s">
        <v>94</v>
      </c>
      <c r="M7" s="53"/>
      <c r="N7" s="53"/>
      <c r="O7" s="53"/>
      <c r="P7" s="53"/>
    </row>
    <row r="8" spans="2:16" x14ac:dyDescent="0.25">
      <c r="B8" s="11" t="s">
        <v>53</v>
      </c>
      <c r="C8" s="12" t="s">
        <v>91</v>
      </c>
      <c r="D8" s="11" t="s">
        <v>98</v>
      </c>
      <c r="E8" s="13" t="s">
        <v>100</v>
      </c>
      <c r="F8" s="14" t="s">
        <v>18</v>
      </c>
      <c r="G8" s="14"/>
      <c r="H8" s="14" t="s">
        <v>97</v>
      </c>
      <c r="I8" s="14"/>
      <c r="J8" s="14"/>
      <c r="L8" s="52"/>
      <c r="M8" s="53"/>
      <c r="N8" s="53"/>
      <c r="O8" s="53"/>
      <c r="P8" s="53"/>
    </row>
    <row r="9" spans="2:16" x14ac:dyDescent="0.25">
      <c r="B9" s="8" t="s">
        <v>101</v>
      </c>
      <c r="C9" s="9"/>
      <c r="D9" s="8"/>
      <c r="F9" s="10"/>
      <c r="G9" s="10"/>
      <c r="H9" s="10"/>
      <c r="I9" s="10"/>
      <c r="J9" s="10"/>
      <c r="L9" s="52"/>
      <c r="M9" s="53"/>
      <c r="N9" s="53"/>
      <c r="O9" s="53"/>
      <c r="P9" s="53"/>
    </row>
    <row r="10" spans="2:16" x14ac:dyDescent="0.25">
      <c r="B10" s="11" t="s">
        <v>52</v>
      </c>
      <c r="C10" s="12" t="s">
        <v>91</v>
      </c>
      <c r="D10" s="11" t="s">
        <v>102</v>
      </c>
      <c r="E10" s="13" t="s">
        <v>54</v>
      </c>
      <c r="F10" s="14" t="s">
        <v>18</v>
      </c>
      <c r="G10" s="14"/>
      <c r="H10" s="14" t="s">
        <v>97</v>
      </c>
      <c r="I10" s="14"/>
      <c r="J10" s="14"/>
    </row>
    <row r="11" spans="2:16" x14ac:dyDescent="0.25">
      <c r="B11" s="48" t="s">
        <v>52</v>
      </c>
      <c r="C11" s="47" t="s">
        <v>91</v>
      </c>
      <c r="D11" s="48" t="s">
        <v>103</v>
      </c>
      <c r="E11" s="51" t="s">
        <v>104</v>
      </c>
      <c r="F11" s="49" t="s">
        <v>18</v>
      </c>
      <c r="G11" s="49"/>
      <c r="H11" s="49" t="s">
        <v>97</v>
      </c>
      <c r="I11" s="49"/>
      <c r="J11" s="49"/>
    </row>
    <row r="15" spans="2:16" x14ac:dyDescent="0.25">
      <c r="B15" s="54" t="s">
        <v>55</v>
      </c>
      <c r="C15" s="54"/>
      <c r="D15" s="54"/>
    </row>
    <row r="16" spans="2:16" x14ac:dyDescent="0.25">
      <c r="B16" s="19" t="s">
        <v>56</v>
      </c>
      <c r="C16" s="19" t="s">
        <v>57</v>
      </c>
      <c r="D16" s="19"/>
    </row>
    <row r="17" spans="2:4" x14ac:dyDescent="0.25">
      <c r="B17" s="18" t="s">
        <v>58</v>
      </c>
      <c r="C17" s="18" t="s">
        <v>59</v>
      </c>
      <c r="D17" s="18"/>
    </row>
    <row r="18" spans="2:4" x14ac:dyDescent="0.25">
      <c r="B18" s="19" t="s">
        <v>60</v>
      </c>
      <c r="C18" s="19" t="s">
        <v>61</v>
      </c>
      <c r="D18" s="19"/>
    </row>
    <row r="19" spans="2:4" x14ac:dyDescent="0.25">
      <c r="B19" s="18" t="s">
        <v>62</v>
      </c>
      <c r="C19" s="18" t="s">
        <v>63</v>
      </c>
      <c r="D19" s="18"/>
    </row>
    <row r="20" spans="2:4" x14ac:dyDescent="0.25">
      <c r="B20" s="19" t="s">
        <v>64</v>
      </c>
      <c r="C20" s="19" t="s">
        <v>65</v>
      </c>
      <c r="D20" s="19" t="s">
        <v>66</v>
      </c>
    </row>
    <row r="21" spans="2:4" x14ac:dyDescent="0.25">
      <c r="B21" s="18" t="s">
        <v>53</v>
      </c>
      <c r="C21" s="18" t="s">
        <v>67</v>
      </c>
      <c r="D21" s="18" t="s">
        <v>68</v>
      </c>
    </row>
    <row r="22" spans="2:4" x14ac:dyDescent="0.25">
      <c r="B22" s="19" t="s">
        <v>69</v>
      </c>
      <c r="C22" s="19" t="s">
        <v>70</v>
      </c>
      <c r="D22" s="19" t="s">
        <v>71</v>
      </c>
    </row>
    <row r="23" spans="2:4" x14ac:dyDescent="0.25">
      <c r="B23" s="18" t="s">
        <v>52</v>
      </c>
      <c r="C23" s="18" t="s">
        <v>72</v>
      </c>
      <c r="D23" s="18" t="s">
        <v>68</v>
      </c>
    </row>
    <row r="24" spans="2:4" ht="15.75" thickBot="1" x14ac:dyDescent="0.3">
      <c r="B24" s="20" t="s">
        <v>73</v>
      </c>
      <c r="C24" s="20" t="s">
        <v>74</v>
      </c>
      <c r="D24" s="20"/>
    </row>
  </sheetData>
  <mergeCells count="2">
    <mergeCell ref="L7:P9"/>
    <mergeCell ref="B15:D1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1DF4-1245-4ECB-AEEE-149C3F3A0EF6}">
  <dimension ref="A2:J29"/>
  <sheetViews>
    <sheetView tabSelected="1" zoomScale="88" zoomScaleNormal="70" workbookViewId="0">
      <selection activeCell="C40" sqref="C40"/>
    </sheetView>
  </sheetViews>
  <sheetFormatPr defaultRowHeight="15" x14ac:dyDescent="0.25"/>
  <cols>
    <col min="2" max="2" width="30" customWidth="1"/>
    <col min="3" max="3" width="50.140625" customWidth="1"/>
    <col min="4" max="4" width="25.7109375" customWidth="1"/>
    <col min="5" max="5" width="10.140625" customWidth="1"/>
    <col min="6" max="6" width="13.42578125" customWidth="1"/>
    <col min="7" max="7" width="16" customWidth="1"/>
    <col min="8" max="8" width="15.85546875" customWidth="1"/>
  </cols>
  <sheetData>
    <row r="2" spans="1:10" ht="18" x14ac:dyDescent="0.25">
      <c r="B2" s="23" t="s">
        <v>75</v>
      </c>
      <c r="C2" s="23"/>
      <c r="D2" s="23"/>
      <c r="E2" s="24"/>
      <c r="F2" s="25"/>
      <c r="G2" s="25"/>
      <c r="H2" s="25"/>
      <c r="I2" s="25"/>
      <c r="J2" s="25"/>
    </row>
    <row r="3" spans="1:10" x14ac:dyDescent="0.25">
      <c r="B3" s="26"/>
      <c r="C3" s="25"/>
      <c r="D3" s="27"/>
      <c r="E3" s="24"/>
      <c r="F3" s="24"/>
      <c r="G3" s="25"/>
      <c r="H3" s="28"/>
      <c r="I3" s="25"/>
      <c r="J3" s="25"/>
    </row>
    <row r="4" spans="1:10" x14ac:dyDescent="0.25">
      <c r="B4" s="29" t="s">
        <v>76</v>
      </c>
      <c r="E4" s="25"/>
      <c r="F4" s="30"/>
      <c r="G4" s="31"/>
      <c r="H4" s="31"/>
      <c r="I4" s="31"/>
      <c r="J4" s="31"/>
    </row>
    <row r="5" spans="1:10" x14ac:dyDescent="0.25">
      <c r="B5" s="6" t="s">
        <v>37</v>
      </c>
      <c r="C5" s="6" t="s">
        <v>77</v>
      </c>
      <c r="D5" s="6" t="s">
        <v>78</v>
      </c>
      <c r="E5" s="6" t="s">
        <v>79</v>
      </c>
      <c r="F5" s="6" t="s">
        <v>80</v>
      </c>
      <c r="G5" s="6" t="s">
        <v>81</v>
      </c>
      <c r="H5" s="6" t="s">
        <v>82</v>
      </c>
      <c r="I5" s="32"/>
      <c r="J5" s="33"/>
    </row>
    <row r="6" spans="1:10" ht="51" x14ac:dyDescent="0.25">
      <c r="B6" s="7" t="s">
        <v>83</v>
      </c>
      <c r="C6" s="7" t="s">
        <v>47</v>
      </c>
      <c r="D6" s="7" t="s">
        <v>84</v>
      </c>
      <c r="E6" s="7" t="s">
        <v>93</v>
      </c>
      <c r="F6" s="7" t="s">
        <v>85</v>
      </c>
      <c r="G6" s="7" t="s">
        <v>86</v>
      </c>
      <c r="H6" s="7" t="s">
        <v>87</v>
      </c>
      <c r="I6" s="34"/>
    </row>
    <row r="7" spans="1:10" x14ac:dyDescent="0.25">
      <c r="B7" s="39" t="str">
        <f>sec_processes!D8</f>
        <v>IMP_NLG</v>
      </c>
      <c r="C7" s="39" t="str">
        <f>sec_processes!E8</f>
        <v>Natural Liquid Gas</v>
      </c>
      <c r="D7" s="42" t="str">
        <f>SEC_Comm!C8</f>
        <v>NLG</v>
      </c>
      <c r="E7" s="40">
        <v>12.52</v>
      </c>
      <c r="F7" s="41"/>
      <c r="G7" s="41"/>
      <c r="H7" s="41"/>
    </row>
    <row r="8" spans="1:10" x14ac:dyDescent="0.25">
      <c r="B8" s="35" t="str">
        <f>sec_processes!D7</f>
        <v>IMP_OILGAS</v>
      </c>
      <c r="C8" s="35" t="str">
        <f>sec_processes!E7</f>
        <v>Industrial synthesis gas derived from oil refinery by-products</v>
      </c>
      <c r="D8" s="36" t="str">
        <f>SEC_Comm!C7</f>
        <v>OILGAS</v>
      </c>
      <c r="E8" s="37">
        <v>21</v>
      </c>
      <c r="F8" s="38"/>
      <c r="G8" s="38"/>
      <c r="H8" s="38"/>
    </row>
    <row r="9" spans="1:10" x14ac:dyDescent="0.25">
      <c r="A9" s="46"/>
      <c r="B9" s="35" t="str">
        <f>sec_processes!D10</f>
        <v>MIN_SOLAR</v>
      </c>
      <c r="C9" s="35" t="str">
        <f>sec_processes!E10</f>
        <v>Solar</v>
      </c>
      <c r="D9" s="36" t="str">
        <f>SEC_Comm!C10</f>
        <v>SOLAR</v>
      </c>
      <c r="E9" s="37">
        <v>0.01</v>
      </c>
      <c r="F9" s="38"/>
      <c r="G9" s="38"/>
      <c r="H9" s="38"/>
    </row>
    <row r="10" spans="1:10" x14ac:dyDescent="0.25">
      <c r="A10" s="46"/>
      <c r="B10" s="39" t="str">
        <f>sec_processes!D11</f>
        <v>MIN_WIND_ON</v>
      </c>
      <c r="C10" s="39" t="str">
        <f>sec_processes!E11</f>
        <v>Wind</v>
      </c>
      <c r="D10" s="42" t="str">
        <f>SEC_Comm!C9</f>
        <v>WIND-ON</v>
      </c>
      <c r="E10" s="40">
        <v>0.01</v>
      </c>
      <c r="F10" s="41"/>
      <c r="G10" s="41"/>
      <c r="H10" s="41"/>
    </row>
    <row r="12" spans="1:10" x14ac:dyDescent="0.25">
      <c r="B12" s="35"/>
      <c r="C12" s="35"/>
      <c r="D12" s="36"/>
      <c r="E12" s="37"/>
      <c r="F12" s="38"/>
      <c r="G12" s="38"/>
      <c r="H12" s="38"/>
    </row>
    <row r="14" spans="1:10" x14ac:dyDescent="0.25">
      <c r="B14" s="35"/>
    </row>
    <row r="16" spans="1:10" ht="18" x14ac:dyDescent="0.25">
      <c r="B16" s="23" t="s">
        <v>90</v>
      </c>
      <c r="C16" s="23"/>
      <c r="D16" s="23"/>
    </row>
    <row r="21" spans="2:4" ht="15.75" thickBot="1" x14ac:dyDescent="0.3"/>
    <row r="22" spans="2:4" x14ac:dyDescent="0.25">
      <c r="B22" s="65" t="s">
        <v>88</v>
      </c>
      <c r="C22" s="66"/>
      <c r="D22" s="67"/>
    </row>
    <row r="23" spans="2:4" ht="15.75" thickBot="1" x14ac:dyDescent="0.3">
      <c r="B23" s="68"/>
      <c r="C23" s="69"/>
      <c r="D23" s="70"/>
    </row>
    <row r="24" spans="2:4" x14ac:dyDescent="0.25">
      <c r="B24" s="56" t="s">
        <v>89</v>
      </c>
      <c r="C24" s="57"/>
      <c r="D24" s="58"/>
    </row>
    <row r="25" spans="2:4" x14ac:dyDescent="0.25">
      <c r="B25" s="59"/>
      <c r="C25" s="60"/>
      <c r="D25" s="61"/>
    </row>
    <row r="26" spans="2:4" x14ac:dyDescent="0.25">
      <c r="B26" s="59"/>
      <c r="C26" s="60"/>
      <c r="D26" s="61"/>
    </row>
    <row r="27" spans="2:4" x14ac:dyDescent="0.25">
      <c r="B27" s="59"/>
      <c r="C27" s="60"/>
      <c r="D27" s="61"/>
    </row>
    <row r="28" spans="2:4" x14ac:dyDescent="0.25">
      <c r="B28" s="59"/>
      <c r="C28" s="60"/>
      <c r="D28" s="61"/>
    </row>
    <row r="29" spans="2:4" ht="15.75" thickBot="1" x14ac:dyDescent="0.3">
      <c r="B29" s="62"/>
      <c r="C29" s="63"/>
      <c r="D29" s="64"/>
    </row>
  </sheetData>
  <mergeCells count="2">
    <mergeCell ref="B24:D29"/>
    <mergeCell ref="B22:D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Luca Maria Buonomo</dc:creator>
  <cp:lastModifiedBy>Pier Luca Maria Buonomo</cp:lastModifiedBy>
  <dcterms:created xsi:type="dcterms:W3CDTF">2015-06-05T18:19:34Z</dcterms:created>
  <dcterms:modified xsi:type="dcterms:W3CDTF">2026-06-22T15:23:23Z</dcterms:modified>
</cp:coreProperties>
</file>