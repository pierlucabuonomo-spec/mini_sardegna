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ee2\Desktop\mini_sardegna\MODELLO\"/>
    </mc:Choice>
  </mc:AlternateContent>
  <xr:revisionPtr revIDLastSave="0" documentId="13_ncr:1_{19E4DB9C-48A6-4008-900C-C25716406146}" xr6:coauthVersionLast="47" xr6:coauthVersionMax="47" xr10:uidLastSave="{00000000-0000-0000-0000-000000000000}"/>
  <bookViews>
    <workbookView xWindow="-105" yWindow="0" windowWidth="26010" windowHeight="20985" activeTab="5" xr2:uid="{C05174E3-99F5-462F-8E0C-CD08CC66D2D7}"/>
  </bookViews>
  <sheets>
    <sheet name="Region-Time Slice" sheetId="1" r:id="rId1"/>
    <sheet name="TimePeriods" sheetId="3" r:id="rId2"/>
    <sheet name="Interpol_Extrapol_Defaults" sheetId="4" r:id="rId3"/>
    <sheet name="Costants" sheetId="5" r:id="rId4"/>
    <sheet name="Defaults" sheetId="6" r:id="rId5"/>
    <sheet name="Reporting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6" authorId="0" shapeId="0" xr:uid="{005947AA-62E4-4051-9836-CA7732454C8F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<sst xmlns="http://schemas.openxmlformats.org/spreadsheetml/2006/main" count="157" uniqueCount="109">
  <si>
    <t>Regions</t>
  </si>
  <si>
    <t>TimeSlices</t>
  </si>
  <si>
    <t>~BookRegions_Map</t>
  </si>
  <si>
    <t>~TimeSlices</t>
  </si>
  <si>
    <t>BookName</t>
  </si>
  <si>
    <t>Region</t>
  </si>
  <si>
    <t>Season</t>
  </si>
  <si>
    <t>DayNite</t>
  </si>
  <si>
    <t>Model</t>
  </si>
  <si>
    <t>SAR</t>
  </si>
  <si>
    <t>NIGHT</t>
  </si>
  <si>
    <t>MORNING</t>
  </si>
  <si>
    <t>MIDDAY</t>
  </si>
  <si>
    <t>EVENING</t>
  </si>
  <si>
    <t>WD</t>
  </si>
  <si>
    <t>Start Year</t>
  </si>
  <si>
    <t>~StartYear</t>
  </si>
  <si>
    <t>Period definition</t>
  </si>
  <si>
    <t>Active period definition</t>
  </si>
  <si>
    <t>~TimePeriods</t>
  </si>
  <si>
    <t>~ActivePDef</t>
  </si>
  <si>
    <t>Pdef-1</t>
  </si>
  <si>
    <t>Global interpolation settings</t>
  </si>
  <si>
    <t>~TFM_MIG</t>
  </si>
  <si>
    <t>LimType</t>
  </si>
  <si>
    <t>Attribute</t>
  </si>
  <si>
    <t>Year2</t>
  </si>
  <si>
    <t>AllRegions</t>
  </si>
  <si>
    <t>Pset_PN</t>
  </si>
  <si>
    <t>UP</t>
  </si>
  <si>
    <t>ACT_BND</t>
  </si>
  <si>
    <t>FX</t>
  </si>
  <si>
    <t>AFA</t>
  </si>
  <si>
    <t>Share-O</t>
  </si>
  <si>
    <t>Share-I</t>
  </si>
  <si>
    <t>Dummy Import Prices</t>
  </si>
  <si>
    <t>~TFM_UPD</t>
  </si>
  <si>
    <t>Pset_Set</t>
  </si>
  <si>
    <t>ACTCOST</t>
  </si>
  <si>
    <t>IRE</t>
  </si>
  <si>
    <t>IMP*Z</t>
  </si>
  <si>
    <t>IMPDEMZ</t>
  </si>
  <si>
    <t>* Definizioni delle costanti nel modello</t>
  </si>
  <si>
    <t>~TFM_INS</t>
  </si>
  <si>
    <t>TimeSlice</t>
  </si>
  <si>
    <t>Year</t>
  </si>
  <si>
    <t>Other_Indexes</t>
  </si>
  <si>
    <t>Cset_CN</t>
  </si>
  <si>
    <t>G_DYEAR</t>
  </si>
  <si>
    <t>Discount</t>
  </si>
  <si>
    <t>G_CYCLE</t>
  </si>
  <si>
    <t>DAYNITE</t>
  </si>
  <si>
    <t>\I:</t>
  </si>
  <si>
    <t>YRFR</t>
  </si>
  <si>
    <t>WDNIGHT</t>
  </si>
  <si>
    <t>WDMORNING</t>
  </si>
  <si>
    <t>WDMIDDAY</t>
  </si>
  <si>
    <t>WDEVENING</t>
  </si>
  <si>
    <t>* Currencies</t>
  </si>
  <si>
    <t>* Default Units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</si>
  <si>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</si>
  <si>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</si>
  <si>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</si>
  <si>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</si>
  <si>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</si>
  <si>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</si>
  <si>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</si>
  <si>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</si>
  <si>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</si>
  <si>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</si>
  <si>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</si>
  <si>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</si>
  <si>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</si>
  <si>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</si>
  <si>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</si>
  <si>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</si>
  <si>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</si>
  <si>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</si>
  <si>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</si>
  <si>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* Unit Conversion</t>
  </si>
  <si>
    <t>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</si>
  <si>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</si>
  <si>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</si>
  <si>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</si>
  <si>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</si>
  <si>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</si>
  <si>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</si>
  <si>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</si>
  <si>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</si>
  <si>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</si>
  <si>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</si>
  <si>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</si>
  <si>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</si>
  <si>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</si>
  <si>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</si>
  <si>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</si>
  <si>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</si>
  <si>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</si>
  <si>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</si>
  <si>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</si>
  <si>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</si>
  <si>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</si>
  <si>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</si>
  <si>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</si>
  <si>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</si>
  <si>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RPT_OPT</t>
  </si>
  <si>
    <t>FLO~3</t>
  </si>
  <si>
    <t>Allyear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</si>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</sst>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4"/>
      <color indexed="9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8"/>
      <color indexed="81"/>
      <name val="Tahoma"/>
      <family val="2"/>
    </font>
    <font>
      <sz val="12"/>
      <color indexed="9"/>
      <name val="Arial"/>
      <family val="2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2"/>
      <color indexed="53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u/>
      <sz val="10"/>
      <color rgb="FF000000"/>
      <name val="Arial"/>
      <family val="2"/>
      <charset val="238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96DBFC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4" fillId="0" borderId="0"/>
    <xf numFmtId="0" fontId="15" fillId="0" borderId="0"/>
    <xf numFmtId="0" fontId="5" fillId="0" borderId="0"/>
    <xf numFmtId="0" fontId="5" fillId="0" borderId="0"/>
    <xf numFmtId="0" fontId="5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5" fillId="5" borderId="0" xfId="0" applyFont="1" applyFill="1"/>
    <xf numFmtId="0" fontId="5" fillId="4" borderId="0" xfId="0" applyFont="1" applyFill="1"/>
    <xf numFmtId="0" fontId="7" fillId="2" borderId="0" xfId="0" applyFont="1" applyFill="1" applyAlignment="1">
      <alignment horizontal="left"/>
    </xf>
    <xf numFmtId="0" fontId="8" fillId="0" borderId="0" xfId="0" applyFont="1"/>
    <xf numFmtId="0" fontId="9" fillId="6" borderId="5" xfId="0" applyFont="1" applyFill="1" applyBorder="1"/>
    <xf numFmtId="0" fontId="5" fillId="0" borderId="0" xfId="0" applyFont="1"/>
    <xf numFmtId="0" fontId="0" fillId="7" borderId="0" xfId="0" applyFill="1"/>
    <xf numFmtId="0" fontId="0" fillId="8" borderId="0" xfId="0" applyFill="1"/>
    <xf numFmtId="0" fontId="0" fillId="0" borderId="6" xfId="0" applyBorder="1"/>
    <xf numFmtId="0" fontId="4" fillId="8" borderId="0" xfId="0" applyFont="1" applyFill="1"/>
    <xf numFmtId="0" fontId="4" fillId="0" borderId="6" xfId="0" applyFont="1" applyBorder="1"/>
    <xf numFmtId="0" fontId="10" fillId="0" borderId="0" xfId="0" applyFont="1"/>
    <xf numFmtId="0" fontId="0" fillId="0" borderId="0" xfId="0" applyAlignment="1">
      <alignment horizontal="center"/>
    </xf>
    <xf numFmtId="0" fontId="0" fillId="8" borderId="6" xfId="0" applyFill="1" applyBorder="1"/>
    <xf numFmtId="0" fontId="4" fillId="0" borderId="0" xfId="1"/>
    <xf numFmtId="0" fontId="11" fillId="4" borderId="0" xfId="1" applyFont="1" applyFill="1"/>
    <xf numFmtId="0" fontId="12" fillId="9" borderId="7" xfId="0" applyFont="1" applyFill="1" applyBorder="1" applyAlignment="1">
      <alignment horizontal="center" vertical="center" wrapText="1"/>
    </xf>
    <xf numFmtId="0" fontId="13" fillId="7" borderId="0" xfId="1" applyFont="1" applyFill="1"/>
    <xf numFmtId="0" fontId="13" fillId="7" borderId="0" xfId="0" applyFont="1" applyFill="1"/>
    <xf numFmtId="0" fontId="13" fillId="5" borderId="0" xfId="1" applyFont="1" applyFill="1"/>
    <xf numFmtId="0" fontId="13" fillId="5" borderId="0" xfId="0" applyFont="1" applyFill="1"/>
    <xf numFmtId="0" fontId="5" fillId="5" borderId="0" xfId="1" applyFont="1" applyFill="1"/>
    <xf numFmtId="0" fontId="13" fillId="10" borderId="8" xfId="1" applyFont="1" applyFill="1" applyBorder="1"/>
    <xf numFmtId="0" fontId="14" fillId="10" borderId="8" xfId="1" applyFont="1" applyFill="1" applyBorder="1"/>
    <xf numFmtId="0" fontId="13" fillId="11" borderId="8" xfId="2" applyFont="1" applyFill="1" applyBorder="1"/>
    <xf numFmtId="0" fontId="13" fillId="12" borderId="0" xfId="3" applyFont="1" applyFill="1"/>
    <xf numFmtId="0" fontId="13" fillId="12" borderId="0" xfId="4" applyFont="1" applyFill="1"/>
    <xf numFmtId="0" fontId="13" fillId="12" borderId="0" xfId="2" applyFont="1" applyFill="1"/>
    <xf numFmtId="0" fontId="13" fillId="13" borderId="0" xfId="4" applyFont="1" applyFill="1"/>
    <xf numFmtId="0" fontId="13" fillId="13" borderId="0" xfId="3" applyFont="1" applyFill="1"/>
    <xf numFmtId="0" fontId="13" fillId="13" borderId="0" xfId="2" applyFont="1" applyFill="1"/>
    <xf numFmtId="0" fontId="5" fillId="8" borderId="6" xfId="0" applyFont="1" applyFill="1" applyBorder="1"/>
    <xf numFmtId="0" fontId="5" fillId="8" borderId="0" xfId="0" applyFont="1" applyFill="1"/>
    <xf numFmtId="0" fontId="5" fillId="0" borderId="6" xfId="0" applyFont="1" applyBorder="1"/>
    <xf numFmtId="0" fontId="5" fillId="14" borderId="6" xfId="0" applyFont="1" applyFill="1" applyBorder="1"/>
    <xf numFmtId="0" fontId="16" fillId="0" borderId="0" xfId="2" applyFont="1"/>
    <xf numFmtId="0" fontId="15" fillId="0" borderId="0" xfId="2"/>
    <xf numFmtId="0" fontId="9" fillId="15" borderId="1" xfId="5" applyFont="1" applyFill="1" applyBorder="1" applyAlignment="1">
      <alignment horizontal="center" vertical="center"/>
    </xf>
    <xf numFmtId="0" fontId="5" fillId="16" borderId="6" xfId="5" applyFill="1" applyBorder="1"/>
    <xf numFmtId="0" fontId="7" fillId="2" borderId="0" xfId="0" applyFont="1" applyFill="1" applyAlignment="1">
      <alignment horizontal="center"/>
    </xf>
  </cellXfs>
  <cellStyles count="6">
    <cellStyle name="Normal 10" xfId="1" xr:uid="{96516281-FDE2-468A-8DBB-5C6A54265C97}"/>
    <cellStyle name="Normal 10 2" xfId="2" xr:uid="{DC71A7FD-766D-4F55-B73A-7676B6D17970}"/>
    <cellStyle name="Normal_Constants 2" xfId="3" xr:uid="{8537EED9-55EE-4039-8FFF-2CB0B5549F07}"/>
    <cellStyle name="Normale" xfId="0" builtinId="0"/>
    <cellStyle name="Normalny 2" xfId="4" xr:uid="{5DDBD9A4-E513-4B81-91E7-A0D698DCC515}"/>
    <cellStyle name="Normalny 2 3" xfId="5" xr:uid="{2556A7B4-4B78-47F0-87FD-D13E01F48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5104-4D47-4ADC-94A8-940326B2080F}">
  <dimension ref="B3:G10"/>
  <sheetViews>
    <sheetView workbookViewId="0">
      <selection activeCell="I12" sqref="I12"/>
    </sheetView>
  </sheetViews>
  <sheetFormatPr defaultRowHeight="15" x14ac:dyDescent="0.25"/>
  <sheetData>
    <row r="3" spans="2:7" ht="18" x14ac:dyDescent="0.25">
      <c r="B3" s="1" t="s">
        <v>0</v>
      </c>
      <c r="E3" s="1" t="s">
        <v>1</v>
      </c>
    </row>
    <row r="4" spans="2:7" x14ac:dyDescent="0.25">
      <c r="B4" s="2"/>
      <c r="E4" s="2"/>
      <c r="F4" s="3"/>
    </row>
    <row r="5" spans="2:7" x14ac:dyDescent="0.25">
      <c r="B5" s="2" t="s">
        <v>2</v>
      </c>
      <c r="E5" s="2" t="s">
        <v>3</v>
      </c>
      <c r="F5" s="3"/>
    </row>
    <row r="6" spans="2:7" ht="15.75" thickBot="1" x14ac:dyDescent="0.3">
      <c r="B6" s="4" t="s">
        <v>4</v>
      </c>
      <c r="C6" s="4" t="s">
        <v>5</v>
      </c>
      <c r="E6" s="5" t="s">
        <v>6</v>
      </c>
      <c r="F6" s="5" t="s">
        <v>7</v>
      </c>
      <c r="G6" s="5" t="s">
        <v>107</v>
      </c>
    </row>
    <row r="7" spans="2:7" ht="15.75" thickBot="1" x14ac:dyDescent="0.3">
      <c r="B7" s="6" t="s">
        <v>8</v>
      </c>
      <c r="C7" s="6" t="s">
        <v>9</v>
      </c>
      <c r="E7" s="7" t="s">
        <v>14</v>
      </c>
      <c r="F7" s="7" t="s">
        <v>10</v>
      </c>
      <c r="G7" s="9" t="s">
        <v>108</v>
      </c>
    </row>
    <row r="8" spans="2:7" x14ac:dyDescent="0.25">
      <c r="E8" s="8"/>
      <c r="F8" s="8" t="s">
        <v>11</v>
      </c>
      <c r="G8" t="s">
        <v>108</v>
      </c>
    </row>
    <row r="9" spans="2:7" x14ac:dyDescent="0.25">
      <c r="E9" s="9"/>
      <c r="F9" s="9" t="s">
        <v>12</v>
      </c>
      <c r="G9" t="s">
        <v>108</v>
      </c>
    </row>
    <row r="10" spans="2:7" x14ac:dyDescent="0.25">
      <c r="E10" s="8"/>
      <c r="F10" s="8" t="s">
        <v>13</v>
      </c>
      <c r="G10" t="s">
        <v>108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CFD3-82A2-4947-9B75-5FA0A620264E}">
  <dimension ref="B3:G24"/>
  <sheetViews>
    <sheetView workbookViewId="0">
      <selection activeCell="B24" sqref="B24"/>
    </sheetView>
  </sheetViews>
  <sheetFormatPr defaultRowHeight="15" x14ac:dyDescent="0.25"/>
  <sheetData>
    <row r="3" spans="2:7" ht="15.75" x14ac:dyDescent="0.25">
      <c r="B3" s="10" t="s">
        <v>15</v>
      </c>
    </row>
    <row r="5" spans="2:7" x14ac:dyDescent="0.25">
      <c r="B5" s="11" t="s">
        <v>16</v>
      </c>
    </row>
    <row r="6" spans="2:7" x14ac:dyDescent="0.25">
      <c r="B6">
        <v>2030</v>
      </c>
    </row>
    <row r="12" spans="2:7" ht="15.75" x14ac:dyDescent="0.25">
      <c r="B12" s="47" t="s">
        <v>17</v>
      </c>
      <c r="C12" s="47"/>
      <c r="E12" s="10" t="s">
        <v>18</v>
      </c>
      <c r="F12" s="10"/>
      <c r="G12" s="10"/>
    </row>
    <row r="14" spans="2:7" x14ac:dyDescent="0.25">
      <c r="B14" s="11" t="s">
        <v>19</v>
      </c>
      <c r="E14" s="11" t="s">
        <v>20</v>
      </c>
    </row>
    <row r="15" spans="2:7" x14ac:dyDescent="0.25">
      <c r="B15" s="12" t="s">
        <v>21</v>
      </c>
      <c r="E15" s="13" t="s">
        <v>21</v>
      </c>
    </row>
    <row r="16" spans="2:7" x14ac:dyDescent="0.25">
      <c r="B16" s="14">
        <v>5</v>
      </c>
    </row>
    <row r="17" spans="2:2" x14ac:dyDescent="0.25">
      <c r="B17" s="15">
        <v>5</v>
      </c>
    </row>
    <row r="18" spans="2:2" x14ac:dyDescent="0.25">
      <c r="B18">
        <v>5</v>
      </c>
    </row>
    <row r="19" spans="2:2" x14ac:dyDescent="0.25">
      <c r="B19" s="15">
        <v>5</v>
      </c>
    </row>
    <row r="20" spans="2:2" x14ac:dyDescent="0.25">
      <c r="B20">
        <v>5</v>
      </c>
    </row>
    <row r="21" spans="2:2" x14ac:dyDescent="0.25">
      <c r="B21" s="15">
        <v>5</v>
      </c>
    </row>
    <row r="24" spans="2:2" ht="15.75" thickBot="1" x14ac:dyDescent="0.3">
      <c r="B24" s="16"/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A185-0276-4953-87C5-FE8D187B6646}">
  <dimension ref="B3:F18"/>
  <sheetViews>
    <sheetView workbookViewId="0">
      <selection activeCell="G43" sqref="G43"/>
    </sheetView>
  </sheetViews>
  <sheetFormatPr defaultRowHeight="15" x14ac:dyDescent="0.25"/>
  <sheetData>
    <row r="3" spans="2:6" ht="18" x14ac:dyDescent="0.25">
      <c r="B3" s="1" t="s">
        <v>22</v>
      </c>
      <c r="C3" s="1"/>
      <c r="D3" s="1"/>
      <c r="E3" s="1"/>
    </row>
    <row r="4" spans="2:6" x14ac:dyDescent="0.25">
      <c r="B4" s="2"/>
    </row>
    <row r="5" spans="2:6" x14ac:dyDescent="0.25">
      <c r="B5" s="2" t="s">
        <v>23</v>
      </c>
    </row>
    <row r="6" spans="2:6" ht="15.75" thickBot="1" x14ac:dyDescent="0.3"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</row>
    <row r="7" spans="2:6" x14ac:dyDescent="0.25">
      <c r="B7" t="s">
        <v>29</v>
      </c>
      <c r="C7" t="s">
        <v>30</v>
      </c>
      <c r="D7">
        <v>0</v>
      </c>
      <c r="E7">
        <v>5</v>
      </c>
    </row>
    <row r="9" spans="2:6" x14ac:dyDescent="0.25">
      <c r="B9" s="13" t="s">
        <v>31</v>
      </c>
      <c r="C9" s="13" t="s">
        <v>32</v>
      </c>
      <c r="D9">
        <v>0</v>
      </c>
      <c r="E9">
        <v>1</v>
      </c>
    </row>
    <row r="10" spans="2:6" x14ac:dyDescent="0.25">
      <c r="B10" s="15" t="s">
        <v>29</v>
      </c>
      <c r="C10" s="17" t="s">
        <v>33</v>
      </c>
      <c r="D10" s="17">
        <v>0</v>
      </c>
      <c r="E10" s="15">
        <v>5</v>
      </c>
      <c r="F10" s="15"/>
    </row>
    <row r="11" spans="2:6" ht="15.75" thickBot="1" x14ac:dyDescent="0.3">
      <c r="B11" s="16" t="s">
        <v>29</v>
      </c>
      <c r="C11" s="18" t="s">
        <v>34</v>
      </c>
      <c r="D11" s="18">
        <v>0</v>
      </c>
      <c r="E11" s="16">
        <v>5</v>
      </c>
      <c r="F11" s="16"/>
    </row>
    <row r="12" spans="2:6" ht="15.75" x14ac:dyDescent="0.25">
      <c r="B12" s="19"/>
      <c r="E12" s="20"/>
      <c r="F12" s="20"/>
    </row>
    <row r="13" spans="2:6" ht="18" x14ac:dyDescent="0.25">
      <c r="B13" s="1" t="s">
        <v>35</v>
      </c>
      <c r="C13" s="1"/>
      <c r="D13" s="1"/>
    </row>
    <row r="15" spans="2:6" x14ac:dyDescent="0.25">
      <c r="B15" s="2" t="s">
        <v>36</v>
      </c>
    </row>
    <row r="16" spans="2:6" ht="15.75" thickBot="1" x14ac:dyDescent="0.3">
      <c r="B16" s="5" t="s">
        <v>25</v>
      </c>
      <c r="C16" s="5" t="s">
        <v>27</v>
      </c>
      <c r="D16" s="5" t="s">
        <v>37</v>
      </c>
      <c r="E16" s="5" t="s">
        <v>28</v>
      </c>
    </row>
    <row r="17" spans="2:5" x14ac:dyDescent="0.25">
      <c r="B17" t="s">
        <v>38</v>
      </c>
      <c r="C17">
        <v>3333</v>
      </c>
      <c r="D17" t="s">
        <v>39</v>
      </c>
      <c r="E17" t="s">
        <v>40</v>
      </c>
    </row>
    <row r="18" spans="2:5" ht="15.75" thickBot="1" x14ac:dyDescent="0.3">
      <c r="B18" s="21" t="s">
        <v>38</v>
      </c>
      <c r="C18" s="21">
        <v>8888</v>
      </c>
      <c r="D18" s="21" t="s">
        <v>39</v>
      </c>
      <c r="E18" s="2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D3EF-07F4-4B64-B483-99EB4F3A4EDE}">
  <dimension ref="B3:H16"/>
  <sheetViews>
    <sheetView workbookViewId="0">
      <selection activeCell="F23" sqref="F23"/>
    </sheetView>
  </sheetViews>
  <sheetFormatPr defaultRowHeight="15" x14ac:dyDescent="0.25"/>
  <sheetData>
    <row r="3" spans="2:8" ht="18" x14ac:dyDescent="0.25">
      <c r="B3" s="1" t="s">
        <v>42</v>
      </c>
      <c r="C3" s="1"/>
      <c r="D3" s="1"/>
      <c r="E3" s="22"/>
      <c r="F3" s="22"/>
      <c r="G3" s="22"/>
      <c r="H3" s="22"/>
    </row>
    <row r="4" spans="2:8" x14ac:dyDescent="0.25">
      <c r="B4" s="22"/>
      <c r="C4" s="22"/>
      <c r="D4" s="22"/>
      <c r="E4" s="22"/>
      <c r="F4" s="22"/>
      <c r="G4" s="22"/>
      <c r="H4" s="22"/>
    </row>
    <row r="5" spans="2:8" ht="16.5" thickBot="1" x14ac:dyDescent="0.3">
      <c r="B5" s="23" t="s">
        <v>43</v>
      </c>
      <c r="C5" s="23"/>
      <c r="D5" s="23"/>
      <c r="E5" s="23"/>
      <c r="F5" s="23"/>
      <c r="G5" s="23"/>
      <c r="H5" s="23"/>
    </row>
    <row r="6" spans="2:8" ht="25.5" x14ac:dyDescent="0.25">
      <c r="B6" s="24" t="s">
        <v>44</v>
      </c>
      <c r="C6" s="24" t="s">
        <v>24</v>
      </c>
      <c r="D6" s="24" t="s">
        <v>25</v>
      </c>
      <c r="E6" s="24" t="s">
        <v>45</v>
      </c>
      <c r="F6" s="24" t="s">
        <v>46</v>
      </c>
      <c r="G6" s="24" t="s">
        <v>27</v>
      </c>
      <c r="H6" s="24" t="s">
        <v>47</v>
      </c>
    </row>
    <row r="7" spans="2:8" x14ac:dyDescent="0.25">
      <c r="B7" s="25"/>
      <c r="C7" s="25"/>
      <c r="D7" s="25" t="s">
        <v>48</v>
      </c>
      <c r="E7" s="26"/>
      <c r="F7" s="25"/>
      <c r="G7" s="25">
        <v>2030</v>
      </c>
      <c r="H7" s="25"/>
    </row>
    <row r="8" spans="2:8" x14ac:dyDescent="0.25">
      <c r="B8" s="27"/>
      <c r="C8" s="27"/>
      <c r="D8" s="27" t="s">
        <v>49</v>
      </c>
      <c r="E8" s="28"/>
      <c r="F8" s="27"/>
      <c r="G8" s="27">
        <v>7.0000000000000007E-2</v>
      </c>
      <c r="H8" s="27"/>
    </row>
    <row r="9" spans="2:8" x14ac:dyDescent="0.25">
      <c r="B9" s="27"/>
      <c r="C9" s="27"/>
      <c r="D9" s="27" t="s">
        <v>50</v>
      </c>
      <c r="E9" s="28"/>
      <c r="F9" s="27" t="s">
        <v>51</v>
      </c>
      <c r="G9" s="29">
        <v>4</v>
      </c>
      <c r="H9" s="27"/>
    </row>
    <row r="10" spans="2:8" x14ac:dyDescent="0.25">
      <c r="B10" s="30" t="s">
        <v>52</v>
      </c>
      <c r="C10" s="30"/>
      <c r="D10" s="30"/>
      <c r="E10" s="30"/>
      <c r="F10" s="30"/>
      <c r="G10" s="31"/>
      <c r="H10" s="32"/>
    </row>
    <row r="11" spans="2:8" x14ac:dyDescent="0.25">
      <c r="B11" s="33" t="s">
        <v>54</v>
      </c>
      <c r="C11" s="34"/>
      <c r="D11" s="33" t="s">
        <v>53</v>
      </c>
      <c r="E11" s="35"/>
      <c r="F11" s="35"/>
      <c r="G11" s="35">
        <v>0.25</v>
      </c>
      <c r="H11" s="35"/>
    </row>
    <row r="12" spans="2:8" x14ac:dyDescent="0.25">
      <c r="B12" s="33" t="s">
        <v>55</v>
      </c>
      <c r="C12" s="36"/>
      <c r="D12" s="37" t="s">
        <v>53</v>
      </c>
      <c r="E12" s="38"/>
      <c r="F12" s="38"/>
      <c r="G12" s="35">
        <v>0.25</v>
      </c>
      <c r="H12" s="38"/>
    </row>
    <row r="13" spans="2:8" x14ac:dyDescent="0.25">
      <c r="B13" s="33" t="s">
        <v>56</v>
      </c>
      <c r="C13" s="34"/>
      <c r="D13" s="33" t="s">
        <v>53</v>
      </c>
      <c r="E13" s="35"/>
      <c r="F13" s="35"/>
      <c r="G13" s="35">
        <v>0.25</v>
      </c>
      <c r="H13" s="35"/>
    </row>
    <row r="14" spans="2:8" x14ac:dyDescent="0.25">
      <c r="B14" s="33" t="s">
        <v>57</v>
      </c>
      <c r="C14" s="36"/>
      <c r="D14" s="37" t="s">
        <v>53</v>
      </c>
      <c r="E14" s="38"/>
      <c r="F14" s="38"/>
      <c r="G14" s="35">
        <v>0.25</v>
      </c>
      <c r="H14" s="38"/>
    </row>
    <row r="15" spans="2:8" x14ac:dyDescent="0.25">
      <c r="B15" s="33"/>
      <c r="C15" s="34"/>
      <c r="D15" s="33"/>
      <c r="E15" s="35"/>
      <c r="F15" s="35"/>
      <c r="G15" s="35"/>
      <c r="H15" s="35"/>
    </row>
    <row r="16" spans="2:8" x14ac:dyDescent="0.25">
      <c r="B16" s="33"/>
      <c r="C16" s="36"/>
      <c r="D16" s="37"/>
      <c r="E16" s="38"/>
      <c r="F16" s="38"/>
      <c r="G16" s="35"/>
      <c r="H16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BC9A-E959-4F11-A2D7-B1E66D976408}">
  <dimension ref="B3:I34"/>
  <sheetViews>
    <sheetView workbookViewId="0">
      <selection activeCell="H39" sqref="H39"/>
    </sheetView>
  </sheetViews>
  <sheetFormatPr defaultRowHeight="15" x14ac:dyDescent="0.25"/>
  <sheetData>
    <row r="3" spans="2:9" ht="18" x14ac:dyDescent="0.25">
      <c r="B3" s="1" t="s">
        <v>58</v>
      </c>
      <c r="D3" s="1" t="s">
        <v>59</v>
      </c>
      <c r="E3" s="1"/>
      <c r="F3" s="1"/>
    </row>
    <row r="5" spans="2:9" x14ac:dyDescent="0.25">
      <c r="B5" s="2" t="s">
        <v>60</v>
      </c>
      <c r="D5" s="2" t="s">
        <v>61</v>
      </c>
    </row>
    <row r="6" spans="2:9" ht="15.75" thickBot="1" x14ac:dyDescent="0.3">
      <c r="B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</row>
    <row r="7" spans="2:9" x14ac:dyDescent="0.25">
      <c r="B7" s="13" t="s">
        <v>69</v>
      </c>
      <c r="D7" s="13" t="s">
        <v>70</v>
      </c>
      <c r="E7" s="13" t="s">
        <v>71</v>
      </c>
      <c r="F7" s="13" t="s">
        <v>71</v>
      </c>
      <c r="G7" s="13" t="s">
        <v>71</v>
      </c>
      <c r="H7" s="13" t="s">
        <v>71</v>
      </c>
      <c r="I7" s="13" t="s">
        <v>72</v>
      </c>
    </row>
    <row r="8" spans="2:9" ht="15.75" thickBot="1" x14ac:dyDescent="0.3">
      <c r="B8" s="39" t="s">
        <v>73</v>
      </c>
      <c r="D8" s="40" t="s">
        <v>74</v>
      </c>
      <c r="E8" s="40" t="s">
        <v>75</v>
      </c>
      <c r="F8" s="40" t="s">
        <v>76</v>
      </c>
      <c r="G8" s="40" t="s">
        <v>76</v>
      </c>
      <c r="H8" s="40" t="s">
        <v>75</v>
      </c>
      <c r="I8" s="40" t="s">
        <v>77</v>
      </c>
    </row>
    <row r="9" spans="2:9" ht="15.75" thickBot="1" x14ac:dyDescent="0.3">
      <c r="D9" s="41" t="s">
        <v>78</v>
      </c>
      <c r="E9" s="41" t="s">
        <v>71</v>
      </c>
      <c r="F9" s="41" t="s">
        <v>71</v>
      </c>
      <c r="G9" s="41" t="s">
        <v>71</v>
      </c>
      <c r="H9" s="41" t="s">
        <v>71</v>
      </c>
      <c r="I9" s="41" t="s">
        <v>72</v>
      </c>
    </row>
    <row r="10" spans="2:9" x14ac:dyDescent="0.25">
      <c r="D10" s="13"/>
      <c r="E10" s="13"/>
      <c r="F10" s="13"/>
      <c r="G10" s="13"/>
      <c r="H10" s="13"/>
      <c r="I10" s="13"/>
    </row>
    <row r="12" spans="2:9" ht="18" x14ac:dyDescent="0.25">
      <c r="B12" s="1" t="s">
        <v>79</v>
      </c>
      <c r="C12" s="1"/>
      <c r="D12" s="1"/>
      <c r="E12" s="1"/>
    </row>
    <row r="14" spans="2:9" x14ac:dyDescent="0.25">
      <c r="B14" s="2" t="s">
        <v>80</v>
      </c>
    </row>
    <row r="15" spans="2:9" ht="15.75" thickBot="1" x14ac:dyDescent="0.3">
      <c r="B15" s="5" t="s">
        <v>81</v>
      </c>
      <c r="C15" s="5" t="s">
        <v>82</v>
      </c>
      <c r="D15" s="5" t="s">
        <v>83</v>
      </c>
    </row>
    <row r="16" spans="2:9" x14ac:dyDescent="0.25">
      <c r="B16" s="13" t="s">
        <v>84</v>
      </c>
      <c r="C16" s="13" t="s">
        <v>71</v>
      </c>
      <c r="D16" s="13">
        <v>1055.55</v>
      </c>
    </row>
    <row r="17" spans="2:4" x14ac:dyDescent="0.25">
      <c r="B17" s="40" t="s">
        <v>85</v>
      </c>
      <c r="C17" s="40" t="s">
        <v>71</v>
      </c>
      <c r="D17" s="40">
        <v>3.6</v>
      </c>
    </row>
    <row r="18" spans="2:4" x14ac:dyDescent="0.25">
      <c r="B18" s="13" t="s">
        <v>86</v>
      </c>
      <c r="C18" s="13" t="s">
        <v>87</v>
      </c>
      <c r="D18" s="13">
        <v>1000</v>
      </c>
    </row>
    <row r="19" spans="2:4" x14ac:dyDescent="0.25">
      <c r="B19" s="40" t="s">
        <v>88</v>
      </c>
      <c r="C19" s="40" t="s">
        <v>89</v>
      </c>
      <c r="D19" s="40">
        <v>1000</v>
      </c>
    </row>
    <row r="20" spans="2:4" x14ac:dyDescent="0.25">
      <c r="B20" s="13" t="s">
        <v>90</v>
      </c>
      <c r="C20" s="13" t="s">
        <v>71</v>
      </c>
      <c r="D20" s="13">
        <v>1.05555</v>
      </c>
    </row>
    <row r="21" spans="2:4" x14ac:dyDescent="0.25">
      <c r="B21" s="40" t="s">
        <v>91</v>
      </c>
      <c r="C21" s="40" t="s">
        <v>71</v>
      </c>
      <c r="D21" s="40">
        <v>4.1868000000000002E-2</v>
      </c>
    </row>
    <row r="22" spans="2:4" x14ac:dyDescent="0.25">
      <c r="B22" s="13" t="s">
        <v>92</v>
      </c>
      <c r="C22" s="13" t="s">
        <v>71</v>
      </c>
      <c r="D22" s="13">
        <v>41.868000000000002</v>
      </c>
    </row>
    <row r="23" spans="2:4" x14ac:dyDescent="0.25">
      <c r="B23" s="40" t="s">
        <v>93</v>
      </c>
      <c r="C23" s="40" t="s">
        <v>71</v>
      </c>
      <c r="D23" s="40">
        <v>3.5999999999999999E-3</v>
      </c>
    </row>
    <row r="24" spans="2:4" x14ac:dyDescent="0.25">
      <c r="B24" s="13" t="s">
        <v>94</v>
      </c>
      <c r="C24" s="13" t="s">
        <v>87</v>
      </c>
      <c r="D24" s="13">
        <v>1000000</v>
      </c>
    </row>
    <row r="25" spans="2:4" x14ac:dyDescent="0.25">
      <c r="B25" s="40" t="s">
        <v>95</v>
      </c>
      <c r="C25" s="40" t="s">
        <v>96</v>
      </c>
      <c r="D25" s="40">
        <v>1000</v>
      </c>
    </row>
    <row r="26" spans="2:4" x14ac:dyDescent="0.25">
      <c r="B26" s="13" t="s">
        <v>97</v>
      </c>
      <c r="C26" s="13" t="s">
        <v>98</v>
      </c>
      <c r="D26" s="13">
        <v>0.15384600000000001</v>
      </c>
    </row>
    <row r="27" spans="2:4" x14ac:dyDescent="0.25">
      <c r="B27" s="40" t="s">
        <v>99</v>
      </c>
      <c r="C27" s="40" t="s">
        <v>100</v>
      </c>
      <c r="D27" s="40">
        <v>-1E-3</v>
      </c>
    </row>
    <row r="28" spans="2:4" x14ac:dyDescent="0.25">
      <c r="B28" s="13" t="s">
        <v>101</v>
      </c>
      <c r="C28" s="13" t="s">
        <v>71</v>
      </c>
      <c r="D28" s="13">
        <v>1000</v>
      </c>
    </row>
    <row r="29" spans="2:4" x14ac:dyDescent="0.25">
      <c r="B29" s="40" t="s">
        <v>102</v>
      </c>
      <c r="C29" s="40" t="s">
        <v>71</v>
      </c>
      <c r="D29" s="40">
        <v>37.681199999999997</v>
      </c>
    </row>
    <row r="30" spans="2:4" x14ac:dyDescent="0.25">
      <c r="B30" s="13" t="s">
        <v>103</v>
      </c>
      <c r="C30" s="13" t="s">
        <v>71</v>
      </c>
      <c r="D30" s="13">
        <v>2299</v>
      </c>
    </row>
    <row r="31" spans="2:4" x14ac:dyDescent="0.25">
      <c r="B31" s="40" t="s">
        <v>104</v>
      </c>
      <c r="C31" s="40" t="s">
        <v>98</v>
      </c>
      <c r="D31" s="40">
        <v>2.7777769999999999</v>
      </c>
    </row>
    <row r="32" spans="2:4" x14ac:dyDescent="0.25">
      <c r="B32" s="13" t="s">
        <v>71</v>
      </c>
      <c r="C32" s="13" t="s">
        <v>85</v>
      </c>
      <c r="D32" s="13">
        <f>1/3.6</f>
        <v>0.27777777777777779</v>
      </c>
    </row>
    <row r="33" spans="2:4" x14ac:dyDescent="0.25">
      <c r="B33" s="40" t="s">
        <v>71</v>
      </c>
      <c r="C33" s="40" t="s">
        <v>71</v>
      </c>
      <c r="D33" s="40">
        <v>1</v>
      </c>
    </row>
    <row r="34" spans="2:4" ht="15.75" thickBot="1" x14ac:dyDescent="0.3">
      <c r="B34" s="42" t="s">
        <v>69</v>
      </c>
      <c r="C34" s="42" t="s">
        <v>73</v>
      </c>
      <c r="D34" s="42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443C-1092-47C3-B6EA-A4A7A8697210}">
  <dimension ref="B3:D5"/>
  <sheetViews>
    <sheetView tabSelected="1" workbookViewId="0">
      <selection activeCell="K33" sqref="K33"/>
    </sheetView>
  </sheetViews>
  <sheetFormatPr defaultRowHeight="15" x14ac:dyDescent="0.25"/>
  <sheetData>
    <row r="3" spans="2:4" x14ac:dyDescent="0.25">
      <c r="B3" s="43" t="s">
        <v>43</v>
      </c>
      <c r="C3" s="44"/>
      <c r="D3" s="44"/>
    </row>
    <row r="4" spans="2:4" x14ac:dyDescent="0.25">
      <c r="B4" s="45" t="s">
        <v>25</v>
      </c>
      <c r="C4" s="45" t="s">
        <v>46</v>
      </c>
      <c r="D4" s="45" t="s">
        <v>27</v>
      </c>
    </row>
    <row r="5" spans="2:4" ht="15.75" thickBot="1" x14ac:dyDescent="0.3">
      <c r="B5" s="46" t="s">
        <v>105</v>
      </c>
      <c r="C5" s="46" t="s">
        <v>106</v>
      </c>
      <c r="D5" s="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Region-Time Slice</vt:lpstr>
      <vt:lpstr>TimePeriods</vt:lpstr>
      <vt:lpstr>Interpol_Extrapol_Defaults</vt:lpstr>
      <vt:lpstr>Costants</vt:lpstr>
      <vt:lpstr>Defaults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2026-06-22T13:58:56Z</dcterms:created>
  <dcterms:modified xsi:type="dcterms:W3CDTF">2026-06-23T09:52:50Z</dcterms:modified>
</cp:coreProperties>
</file>