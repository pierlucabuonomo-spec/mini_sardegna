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abee2\Desktop\mini_sardegna\MODELLO\"/>
    </mc:Choice>
  </mc:AlternateContent>
  <xr:revisionPtr revIDLastSave="0" documentId="13_ncr:1_{C4252134-A8CC-4B49-AB74-0F54AE668F46}" xr6:coauthVersionLast="47" xr6:coauthVersionMax="47" xr10:uidLastSave="{00000000-0000-0000-0000-000000000000}"/>
  <bookViews>
    <workbookView xWindow="21645" yWindow="3540" windowWidth="28230" windowHeight="15345" tabRatio="901" activeTab="6" xr2:uid="{00000000-000D-0000-FFFF-FFFF00000000}"/>
  </bookViews>
  <sheets>
    <sheet name="BALANCE" sheetId="1" r:id="rId1"/>
    <sheet name="TOPOLOGY" sheetId="2" r:id="rId2"/>
    <sheet name="SEC_Comm" sheetId="3" r:id="rId3"/>
    <sheet name="SEC_Processes" sheetId="4" r:id="rId4"/>
    <sheet name="PP" sheetId="6" r:id="rId5"/>
    <sheet name="RES" sheetId="7" r:id="rId6"/>
    <sheet name="EMI" sheetId="12" r:id="rId7"/>
  </sheets>
  <externalReferences>
    <externalReference r:id="rId8"/>
  </externalReferences>
  <definedNames>
    <definedName name="_Order1">0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2" l="1"/>
  <c r="B8" i="12"/>
  <c r="B7" i="12"/>
  <c r="E8" i="7"/>
  <c r="E7" i="7"/>
  <c r="E27" i="6"/>
  <c r="E17" i="6"/>
  <c r="D27" i="6"/>
  <c r="D17" i="6"/>
  <c r="C27" i="6"/>
  <c r="C17" i="6"/>
  <c r="B27" i="6"/>
  <c r="B17" i="6"/>
  <c r="E8" i="6"/>
  <c r="E7" i="6"/>
  <c r="D7" i="6"/>
  <c r="C8" i="6"/>
  <c r="C7" i="6"/>
  <c r="B8" i="6"/>
  <c r="B7" i="6"/>
  <c r="E36" i="6" l="1"/>
  <c r="E26" i="6"/>
  <c r="I8" i="6"/>
  <c r="H8" i="6"/>
  <c r="D8" i="6"/>
  <c r="H7" i="6"/>
  <c r="I7" i="6" s="1"/>
  <c r="E43" i="1"/>
  <c r="G16" i="1"/>
  <c r="F16" i="1"/>
  <c r="E16" i="1"/>
  <c r="D16" i="1"/>
  <c r="C8" i="7"/>
  <c r="B8" i="7"/>
  <c r="C7" i="7"/>
  <c r="B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200-000001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5" authorId="1" shapeId="0" xr:uid="{00000000-0006-0000-0200-000002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5" authorId="1" shapeId="0" xr:uid="{00000000-0006-0000-0200-000003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5" authorId="1" shapeId="0" xr:uid="{00000000-0006-0000-0200-000004000000}">
      <text>
        <r>
          <rPr>
            <sz val="10"/>
            <rFont val="Arial"/>
            <family val="2"/>
          </rPr>
          <t>Allowed Ctype
ELC (Electricity)</t>
        </r>
      </text>
    </comment>
    <comment ref="B15" authorId="2" shapeId="0" xr:uid="{00000000-0006-0000-0200-000005000000}">
      <text>
        <r>
          <rPr>
            <sz val="10"/>
            <rFont val="Arial"/>
            <family val="2"/>
          </rPr>
          <t>Csets declarations are inherited until the next one is encountered.
Allowed Cset:
NRG (Energy)
ENV (Emission)
DEM (Demand)
MAT (Material)
FIN (Financial)</t>
        </r>
      </text>
    </comment>
    <comment ref="F15" authorId="0" shapeId="0" xr:uid="{00000000-0006-0000-0200-000006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15" authorId="1" shapeId="0" xr:uid="{00000000-0006-0000-0200-000007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15" authorId="1" shapeId="0" xr:uid="{00000000-0006-0000-0200-000008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15" authorId="1" shapeId="0" xr:uid="{00000000-0006-0000-0200-000009000000}">
      <text>
        <r>
          <rPr>
            <sz val="10"/>
            <rFont val="Arial"/>
            <family val="2"/>
          </rPr>
          <t>Allowed Ctype
ELC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300-000001000000}">
      <text>
        <r>
          <rPr>
            <sz val="10"/>
            <rFont val="Arial"/>
            <family val="2"/>
          </rPr>
          <t>Allowed TsLvl
ANNUAL (Annual level)
SEASON (Seasonal level)
WEEKLY (Weekly level)
DAYNITE (day and night level)</t>
        </r>
      </text>
    </comment>
    <comment ref="I5" authorId="1" shapeId="0" xr:uid="{00000000-0006-0000-0300-000002000000}">
      <text>
        <r>
          <rPr>
            <sz val="10"/>
            <rFont val="Arial"/>
            <family val="2"/>
          </rPr>
          <t xml:space="preserve">Amit Kanudia:
Needed only when one wants to override the VEDA default assignment
</t>
        </r>
      </text>
    </comment>
    <comment ref="J5" authorId="0" shapeId="0" xr:uid="{00000000-0006-0000-0300-000003000000}">
      <text>
        <r>
          <rPr>
            <sz val="10"/>
            <rFont val="Arial"/>
            <family val="2"/>
          </rPr>
          <t>Allowed Vintage
NO (if empty by default mean NO)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5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  <comment ref="C15" authorId="0" shapeId="0" xr:uid="{00000000-0006-0000-0500-000002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6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  <comment ref="B16" authorId="1" shapeId="0" xr:uid="{00000000-0006-0000-0600-000002000000}">
      <text>
        <r>
          <rPr>
            <sz val="10"/>
            <rFont val="Arial"/>
            <family val="2"/>
          </rPr>
          <t>Csets declarations are inherited until the next one is encountered.
Allowed Cset:
NRG (Energy)
ENV (Emission)
DEM (Demand)
MAT (Material)
FIN (Financial)</t>
        </r>
      </text>
    </comment>
    <comment ref="F16" authorId="2" shapeId="0" xr:uid="{00000000-0006-0000-0600-000003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16" authorId="0" shapeId="0" xr:uid="{00000000-0006-0000-0600-000004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</commentList>
</comments>
</file>

<file path=xl/sharedStrings.xml><?xml version="1.0" encoding="utf-8"?>
<sst xmlns="http://schemas.openxmlformats.org/spreadsheetml/2006/main" count="526" uniqueCount="241">
  <si>
    <t>Renewable Energy Sources</t>
  </si>
  <si>
    <t>~FI_T</t>
  </si>
  <si>
    <t>TechName</t>
  </si>
  <si>
    <t>*TechDesc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</si>
  <si>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</si>
  <si>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</si>
  <si>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</si>
  <si>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</si>
  <si>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</si>
  <si>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</si>
  <si>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</si>
  <si>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</si>
  <si>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</si>
  <si>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</si>
  <si>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STOCK~2050</t>
  </si>
  <si>
    <t>PEAK</t>
  </si>
  <si>
    <t>AFA</t>
  </si>
  <si>
    <t>FIXOM</t>
  </si>
  <si>
    <t>VAROM</t>
  </si>
  <si>
    <t>\I: Technology Name</t>
  </si>
  <si>
    <t>Technology Description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</si>
  <si>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</si>
  <si>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</si>
  <si>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</si>
  <si>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</si>
  <si>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</si>
  <si>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</si>
  <si>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</si>
  <si>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[EUR/kW]</t>
  </si>
  <si>
    <t>Variable O&amp;M Costs [EUR/GJ]</t>
  </si>
  <si>
    <t>BIOMASS</t>
  </si>
  <si>
    <t>HIDRO</t>
  </si>
  <si>
    <t>HIDRO_RUN</t>
  </si>
  <si>
    <t>HIDRO_STG_PUMP</t>
  </si>
  <si>
    <t>OTHER</t>
  </si>
  <si>
    <t>WIND-ON</t>
  </si>
  <si>
    <t>SOLAR</t>
  </si>
  <si>
    <t>No tag - won't be read by Veda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</si>
  <si>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</si>
  <si>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</si>
  <si>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</si>
  <si>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</si>
  <si>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</si>
  <si>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</si>
  <si>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</si>
  <si>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</si>
  <si>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</si>
  <si>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</si>
  <si>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</si>
  <si>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</si>
  <si>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</si>
  <si>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</si>
  <si>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</si>
  <si>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</si>
  <si>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SOLID</t>
  </si>
  <si>
    <t>Solid Fuels</t>
  </si>
  <si>
    <t>PJ</t>
  </si>
  <si>
    <t>CRUDE_OIL</t>
  </si>
  <si>
    <t xml:space="preserve">Oil </t>
  </si>
  <si>
    <t>OILGAS</t>
  </si>
  <si>
    <t>Syngas_Res</t>
  </si>
  <si>
    <t>DIESEL</t>
  </si>
  <si>
    <t>Diesel</t>
  </si>
  <si>
    <t>GASOLINE</t>
  </si>
  <si>
    <t>Gasoline</t>
  </si>
  <si>
    <t>OGL</t>
  </si>
  <si>
    <t>OilGasLiquid</t>
  </si>
  <si>
    <t>FUEL_OIL</t>
  </si>
  <si>
    <t>Jet_Fuel</t>
  </si>
  <si>
    <t>Jet Fuel</t>
  </si>
  <si>
    <t>Lubricants</t>
  </si>
  <si>
    <t>Bitumen</t>
  </si>
  <si>
    <t>Ethy_and_Prop</t>
  </si>
  <si>
    <t>Ethy and Prop</t>
  </si>
  <si>
    <t>NLG</t>
  </si>
  <si>
    <t>Natural Liquid Gas</t>
  </si>
  <si>
    <t>Biomass</t>
  </si>
  <si>
    <t>Hidro pump</t>
  </si>
  <si>
    <t>Hidro run of river</t>
  </si>
  <si>
    <t>Hidro storage pump</t>
  </si>
  <si>
    <t>Onshore Wind Energy</t>
  </si>
  <si>
    <t>BIOGAS</t>
  </si>
  <si>
    <t>Solar Energy</t>
  </si>
  <si>
    <t>FUEL</t>
  </si>
  <si>
    <t>Fuel for engine</t>
  </si>
  <si>
    <t>HIDROGEN</t>
  </si>
  <si>
    <t>Hidrogen</t>
  </si>
  <si>
    <t>* Energy Balance / Bilans energii</t>
  </si>
  <si>
    <t>Table 1: Simple energy balance of Sardinia energy system in 2023</t>
  </si>
  <si>
    <t>Type of generating unit</t>
  </si>
  <si>
    <t>Generation unit type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</si>
  <si>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</si>
  <si>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</si>
  <si>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</si>
  <si>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</si>
  <si>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</si>
  <si>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</si>
  <si>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</si>
  <si>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</si>
  <si>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</si>
  <si>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</si>
  <si>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</si>
  <si>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</si>
  <si>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</si>
  <si>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</si>
  <si>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</si>
  <si>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t>mln m3</t>
  </si>
  <si>
    <t>kJ/m3</t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</si>
  <si>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</si>
  <si>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</si>
  <si>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</si>
  <si>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</si>
  <si>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</si>
  <si>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</si>
  <si>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</si>
  <si>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</si>
  <si>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</si>
  <si>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</si>
  <si>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</si>
  <si>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</si>
  <si>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</si>
  <si>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</si>
  <si>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</si>
  <si>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</si>
  <si>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</si>
  <si>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</si>
  <si>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</si>
  <si>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</si>
  <si>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</si>
  <si>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2020</t>
  </si>
  <si>
    <t>Tabela 2: Sprawności przesyłu i transformacji nośników energii w sieci w 2020 r.</t>
  </si>
  <si>
    <t xml:space="preserve">Energy </t>
  </si>
  <si>
    <t>Energy carrier</t>
  </si>
  <si>
    <t>Przesył i transformacja</t>
  </si>
  <si>
    <t>Sprawność</t>
  </si>
  <si>
    <t>Transmission and distribution</t>
  </si>
  <si>
    <t>Energia elektryczna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</si>
  <si>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</si>
  <si>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</si>
  <si>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</si>
  <si>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</si>
  <si>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</si>
  <si>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</si>
  <si>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Nośnik energii</t>
  </si>
  <si>
    <t>Jednostka</t>
  </si>
  <si>
    <t>Zapotrzebowanie końcowe</t>
  </si>
  <si>
    <t>Final energy demand</t>
  </si>
  <si>
    <t>[TWh]</t>
  </si>
  <si>
    <t>Source / Źródło:</t>
  </si>
  <si>
    <t>1) opracowanie własne na podstawie "Statystyka Elektroenergetyki Polskiej 2020" - Ministerstwo Klimatu i Środowiska, Agencja Rynku Energii S.A., Warszawa 2021.</t>
  </si>
  <si>
    <t>2) opracowanie własne na podstawie "Energetyka Cieplna w Liczbach 2021" - Urząd Regulacji Energetyki, Warszawa 2022.</t>
  </si>
  <si>
    <t>Define Commodities</t>
  </si>
  <si>
    <t>~FI_Comm</t>
  </si>
  <si>
    <t>ELEC_HV</t>
  </si>
  <si>
    <t>High Voltage Electricity (&gt;110 kV)</t>
  </si>
  <si>
    <t>DAYNITE</t>
  </si>
  <si>
    <t>ANNUAL</t>
  </si>
  <si>
    <t>ELC</t>
  </si>
  <si>
    <t>ENV</t>
  </si>
  <si>
    <t>CO2</t>
  </si>
  <si>
    <t>Carbon Dioxide Emission</t>
  </si>
  <si>
    <t>\I:</t>
  </si>
  <si>
    <t>Copy from SUP</t>
  </si>
  <si>
    <t>Available Commodity Sets</t>
  </si>
  <si>
    <t>Energy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</si>
  <si>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</si>
  <si>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</si>
  <si>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</si>
  <si>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</si>
  <si>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</si>
  <si>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</si>
  <si>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</si>
  <si>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</si>
  <si>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</si>
  <si>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</si>
  <si>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</si>
  <si>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</si>
  <si>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</si>
  <si>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</si>
  <si>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</si>
  <si>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</si>
  <si>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</si>
  <si>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</si>
  <si>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</si>
  <si>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</si>
  <si>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Activity Unit</t>
  </si>
  <si>
    <t>Capacity Unit</t>
  </si>
  <si>
    <t>Primary Commodity Group</t>
  </si>
  <si>
    <t>Vintage Tracking</t>
  </si>
  <si>
    <t>SAR</t>
  </si>
  <si>
    <t>MIN_EX_WIND-ON</t>
  </si>
  <si>
    <t>Wind-On Energy Mine</t>
  </si>
  <si>
    <t>GW</t>
  </si>
  <si>
    <t>MIN_EX_PV</t>
  </si>
  <si>
    <t>Solar Energy Mine</t>
  </si>
  <si>
    <t>ELE</t>
  </si>
  <si>
    <t>ELE_EX_WIND-ON</t>
  </si>
  <si>
    <t>Existing Onshore Wind Turbines</t>
  </si>
  <si>
    <t>Existing autoproducer PV Elecrticity</t>
  </si>
  <si>
    <t>ELE_EX_PV</t>
  </si>
  <si>
    <t>ELE_EX_OILGAS</t>
  </si>
  <si>
    <t>IMP</t>
  </si>
  <si>
    <t>EXP</t>
  </si>
  <si>
    <t>PRE</t>
  </si>
  <si>
    <t>Available Process Sets</t>
  </si>
  <si>
    <t>Power Plant (Electricity Only)</t>
  </si>
  <si>
    <t>CHP</t>
  </si>
  <si>
    <t>Combined Heat &amp; Power Plant</t>
  </si>
  <si>
    <t>STG</t>
  </si>
  <si>
    <t>Timeslice Storage</t>
  </si>
  <si>
    <t>Generic Process</t>
  </si>
  <si>
    <t>DMD</t>
  </si>
  <si>
    <t>Demand Process</t>
  </si>
  <si>
    <t>Shoud have commodity of type DEM on Output</t>
  </si>
  <si>
    <t>Import</t>
  </si>
  <si>
    <t>Commodity only at Output</t>
  </si>
  <si>
    <t>Eksport</t>
  </si>
  <si>
    <t>Commodity only at Input</t>
  </si>
  <si>
    <t>MIN</t>
  </si>
  <si>
    <t>Mining</t>
  </si>
  <si>
    <t>HPL</t>
  </si>
  <si>
    <t>Heat Only Plant</t>
  </si>
  <si>
    <t>* TechDesc</t>
  </si>
  <si>
    <t>Power Plants</t>
  </si>
  <si>
    <t>AFA~2023~FX</t>
  </si>
  <si>
    <t>AFA~2025</t>
  </si>
  <si>
    <t>Alternative Syntax - one process</t>
  </si>
  <si>
    <t>Year</t>
  </si>
  <si>
    <t>STOCK</t>
  </si>
  <si>
    <t>Limit type [(in)equality sing]</t>
  </si>
  <si>
    <t>Fixed O&amp;M Costs [PLN/kW]</t>
  </si>
  <si>
    <t>Variable O&amp;M Costs [PLN/GJ]</t>
  </si>
  <si>
    <t>FX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</si>
  <si>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</si>
  <si>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</si>
  <si>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</si>
  <si>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</si>
  <si>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</si>
  <si>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Existing GNL Power Plant</t>
  </si>
  <si>
    <t>Existing Syngas Power Plant</t>
  </si>
  <si>
    <t>ELE_EX_IGCC_NLG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</si>
</sst>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34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sz val="12"/>
      <color indexed="56"/>
      <name val="Arial"/>
      <family val="2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u/>
      <sz val="10"/>
      <name val="Arial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9" fontId="27" fillId="0" borderId="0"/>
    <xf numFmtId="0" fontId="18" fillId="0" borderId="0"/>
    <xf numFmtId="9" fontId="27" fillId="0" borderId="0"/>
    <xf numFmtId="0" fontId="19" fillId="0" borderId="0"/>
    <xf numFmtId="0" fontId="20" fillId="0" borderId="0"/>
    <xf numFmtId="0" fontId="27" fillId="0" borderId="0"/>
    <xf numFmtId="0" fontId="18" fillId="0" borderId="0"/>
    <xf numFmtId="9" fontId="27" fillId="0" borderId="0"/>
    <xf numFmtId="0" fontId="27" fillId="0" borderId="0"/>
    <xf numFmtId="9" fontId="27" fillId="0" borderId="0"/>
    <xf numFmtId="0" fontId="27" fillId="0" borderId="0"/>
    <xf numFmtId="0" fontId="27" fillId="0" borderId="0"/>
    <xf numFmtId="0" fontId="3" fillId="0" borderId="0"/>
  </cellStyleXfs>
  <cellXfs count="168">
    <xf numFmtId="0" fontId="0" fillId="0" borderId="0" xfId="0"/>
    <xf numFmtId="9" fontId="0" fillId="0" borderId="0" xfId="8" applyFont="1"/>
    <xf numFmtId="0" fontId="11" fillId="8" borderId="7" xfId="0" applyFont="1" applyFill="1" applyBorder="1"/>
    <xf numFmtId="2" fontId="11" fillId="9" borderId="0" xfId="0" applyNumberFormat="1" applyFont="1" applyFill="1"/>
    <xf numFmtId="164" fontId="11" fillId="8" borderId="0" xfId="0" applyNumberFormat="1" applyFont="1" applyFill="1"/>
    <xf numFmtId="165" fontId="11" fillId="8" borderId="0" xfId="0" applyNumberFormat="1" applyFont="1" applyFill="1"/>
    <xf numFmtId="0" fontId="11" fillId="8" borderId="0" xfId="0" applyFont="1" applyFill="1"/>
    <xf numFmtId="164" fontId="11" fillId="9" borderId="0" xfId="0" applyNumberFormat="1" applyFont="1" applyFill="1"/>
    <xf numFmtId="0" fontId="11" fillId="9" borderId="0" xfId="0" applyFont="1" applyFill="1"/>
    <xf numFmtId="2" fontId="11" fillId="8" borderId="24" xfId="0" applyNumberFormat="1" applyFont="1" applyFill="1" applyBorder="1"/>
    <xf numFmtId="164" fontId="11" fillId="8" borderId="24" xfId="0" applyNumberFormat="1" applyFont="1" applyFill="1" applyBorder="1"/>
    <xf numFmtId="0" fontId="11" fillId="8" borderId="24" xfId="0" applyFont="1" applyFill="1" applyBorder="1"/>
    <xf numFmtId="166" fontId="11" fillId="12" borderId="23" xfId="1" applyNumberFormat="1" applyFont="1" applyFill="1" applyBorder="1" applyAlignment="1">
      <alignment vertical="center" wrapText="1"/>
    </xf>
    <xf numFmtId="0" fontId="11" fillId="12" borderId="23" xfId="0" applyFont="1" applyFill="1" applyBorder="1" applyAlignment="1">
      <alignment horizontal="center" vertical="center" wrapText="1"/>
    </xf>
    <xf numFmtId="166" fontId="11" fillId="12" borderId="23" xfId="1" applyNumberFormat="1" applyFont="1" applyFill="1" applyBorder="1" applyAlignment="1">
      <alignment horizontal="center" vertical="center" wrapText="1"/>
    </xf>
    <xf numFmtId="166" fontId="16" fillId="11" borderId="22" xfId="0" applyNumberFormat="1" applyFont="1" applyFill="1" applyBorder="1" applyAlignment="1">
      <alignment horizontal="center" vertical="center" wrapText="1"/>
    </xf>
    <xf numFmtId="0" fontId="16" fillId="11" borderId="22" xfId="0" applyFont="1" applyFill="1" applyBorder="1" applyAlignment="1">
      <alignment horizontal="center" vertical="center"/>
    </xf>
    <xf numFmtId="166" fontId="16" fillId="11" borderId="22" xfId="0" applyNumberFormat="1" applyFont="1" applyFill="1" applyBorder="1" applyAlignment="1">
      <alignment horizontal="center" vertical="center"/>
    </xf>
    <xf numFmtId="166" fontId="3" fillId="3" borderId="4" xfId="1" applyNumberForma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17" fillId="0" borderId="0" xfId="0" applyFont="1"/>
    <xf numFmtId="0" fontId="11" fillId="0" borderId="0" xfId="0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3" fillId="0" borderId="0" xfId="3"/>
    <xf numFmtId="0" fontId="3" fillId="0" borderId="0" xfId="3" applyAlignment="1">
      <alignment horizontal="right"/>
    </xf>
    <xf numFmtId="0" fontId="5" fillId="0" borderId="0" xfId="3" applyFont="1" applyAlignment="1">
      <alignment horizontal="left"/>
    </xf>
    <xf numFmtId="0" fontId="6" fillId="0" borderId="0" xfId="3" applyFont="1" applyAlignment="1">
      <alignment horizontal="right"/>
    </xf>
    <xf numFmtId="0" fontId="15" fillId="0" borderId="5" xfId="0" applyFont="1" applyBorder="1" applyAlignment="1">
      <alignment horizontal="left"/>
    </xf>
    <xf numFmtId="0" fontId="14" fillId="4" borderId="0" xfId="0" applyFont="1" applyFill="1"/>
    <xf numFmtId="0" fontId="13" fillId="0" borderId="0" xfId="0" applyFont="1"/>
    <xf numFmtId="166" fontId="2" fillId="4" borderId="0" xfId="0" applyNumberFormat="1" applyFont="1" applyFill="1"/>
    <xf numFmtId="166" fontId="3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0" fillId="5" borderId="0" xfId="0" applyFill="1"/>
    <xf numFmtId="0" fontId="3" fillId="5" borderId="0" xfId="0" applyFont="1" applyFill="1"/>
    <xf numFmtId="164" fontId="3" fillId="5" borderId="0" xfId="0" applyNumberFormat="1" applyFont="1" applyFill="1"/>
    <xf numFmtId="166" fontId="0" fillId="5" borderId="0" xfId="0" applyNumberFormat="1" applyFill="1"/>
    <xf numFmtId="166" fontId="11" fillId="5" borderId="0" xfId="0" applyNumberFormat="1" applyFont="1" applyFill="1"/>
    <xf numFmtId="165" fontId="0" fillId="0" borderId="0" xfId="0" applyNumberFormat="1"/>
    <xf numFmtId="0" fontId="10" fillId="0" borderId="0" xfId="2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7" fontId="11" fillId="0" borderId="0" xfId="9" applyNumberFormat="1" applyFont="1" applyAlignment="1">
      <alignment horizontal="right" vertical="center"/>
    </xf>
    <xf numFmtId="167" fontId="11" fillId="0" borderId="0" xfId="9" applyNumberFormat="1" applyFont="1" applyAlignment="1">
      <alignment horizontal="center" vertical="center"/>
    </xf>
    <xf numFmtId="2" fontId="11" fillId="0" borderId="0" xfId="0" applyNumberFormat="1" applyFont="1"/>
    <xf numFmtId="2" fontId="0" fillId="0" borderId="0" xfId="0" applyNumberFormat="1"/>
    <xf numFmtId="0" fontId="22" fillId="4" borderId="0" xfId="0" quotePrefix="1" applyFont="1" applyFill="1" applyAlignment="1">
      <alignment horizontal="left"/>
    </xf>
    <xf numFmtId="0" fontId="15" fillId="0" borderId="0" xfId="0" applyFont="1" applyAlignment="1">
      <alignment horizontal="left"/>
    </xf>
    <xf numFmtId="0" fontId="3" fillId="7" borderId="0" xfId="0" applyFont="1" applyFill="1"/>
    <xf numFmtId="0" fontId="0" fillId="7" borderId="0" xfId="0" applyFill="1"/>
    <xf numFmtId="0" fontId="3" fillId="7" borderId="6" xfId="0" applyFont="1" applyFill="1" applyBorder="1"/>
    <xf numFmtId="166" fontId="0" fillId="7" borderId="0" xfId="0" applyNumberFormat="1" applyFill="1"/>
    <xf numFmtId="166" fontId="11" fillId="7" borderId="0" xfId="0" applyNumberFormat="1" applyFont="1" applyFill="1"/>
    <xf numFmtId="167" fontId="23" fillId="0" borderId="1" xfId="9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2" fillId="0" borderId="0" xfId="0" applyFont="1"/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/>
    </xf>
    <xf numFmtId="0" fontId="21" fillId="0" borderId="10" xfId="10" applyFont="1" applyBorder="1" applyAlignment="1">
      <alignment horizontal="left" vertical="center"/>
    </xf>
    <xf numFmtId="0" fontId="21" fillId="0" borderId="12" xfId="0" applyFont="1" applyBorder="1" applyAlignment="1">
      <alignment horizontal="left"/>
    </xf>
    <xf numFmtId="167" fontId="23" fillId="0" borderId="2" xfId="9" applyNumberFormat="1" applyFont="1" applyBorder="1" applyAlignment="1">
      <alignment horizontal="center" vertical="center"/>
    </xf>
    <xf numFmtId="167" fontId="21" fillId="0" borderId="2" xfId="9" applyNumberFormat="1" applyFont="1" applyBorder="1" applyAlignment="1">
      <alignment horizontal="center" vertical="center"/>
    </xf>
    <xf numFmtId="167" fontId="23" fillId="0" borderId="13" xfId="9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3" fillId="0" borderId="10" xfId="0" applyFont="1" applyBorder="1"/>
    <xf numFmtId="164" fontId="23" fillId="0" borderId="11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8" fontId="11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2" fontId="3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3" fillId="5" borderId="0" xfId="0" applyFont="1" applyFill="1" applyAlignment="1">
      <alignment horizontal="left"/>
    </xf>
    <xf numFmtId="2" fontId="3" fillId="5" borderId="0" xfId="0" applyNumberFormat="1" applyFont="1" applyFill="1"/>
    <xf numFmtId="0" fontId="11" fillId="7" borderId="6" xfId="0" applyFont="1" applyFill="1" applyBorder="1" applyAlignment="1">
      <alignment horizontal="left"/>
    </xf>
    <xf numFmtId="0" fontId="16" fillId="0" borderId="0" xfId="0" applyFont="1"/>
    <xf numFmtId="0" fontId="11" fillId="8" borderId="14" xfId="0" applyFont="1" applyFill="1" applyBorder="1"/>
    <xf numFmtId="0" fontId="2" fillId="4" borderId="0" xfId="0" quotePrefix="1" applyFont="1" applyFill="1"/>
    <xf numFmtId="0" fontId="6" fillId="4" borderId="0" xfId="0" applyFont="1" applyFill="1"/>
    <xf numFmtId="0" fontId="25" fillId="4" borderId="0" xfId="0" quotePrefix="1" applyFont="1" applyFill="1" applyAlignment="1">
      <alignment horizontal="left"/>
    </xf>
    <xf numFmtId="0" fontId="10" fillId="0" borderId="0" xfId="2" applyFont="1" applyAlignment="1">
      <alignment horizontal="left"/>
    </xf>
    <xf numFmtId="0" fontId="2" fillId="4" borderId="0" xfId="0" applyFont="1" applyFill="1" applyAlignment="1">
      <alignment readingOrder="1"/>
    </xf>
    <xf numFmtId="164" fontId="0" fillId="0" borderId="0" xfId="0" applyNumberFormat="1"/>
    <xf numFmtId="166" fontId="1" fillId="2" borderId="4" xfId="0" applyNumberFormat="1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 wrapText="1"/>
    </xf>
    <xf numFmtId="0" fontId="21" fillId="0" borderId="15" xfId="10" applyFont="1" applyBorder="1" applyAlignment="1">
      <alignment horizontal="left" vertical="center"/>
    </xf>
    <xf numFmtId="0" fontId="21" fillId="0" borderId="16" xfId="0" applyFont="1" applyBorder="1" applyAlignment="1">
      <alignment horizontal="left"/>
    </xf>
    <xf numFmtId="0" fontId="23" fillId="0" borderId="15" xfId="0" applyFont="1" applyBorder="1"/>
    <xf numFmtId="0" fontId="21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6" fillId="0" borderId="0" xfId="0" applyFont="1"/>
    <xf numFmtId="166" fontId="3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3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28" fillId="8" borderId="14" xfId="0" applyNumberFormat="1" applyFont="1" applyFill="1" applyBorder="1"/>
    <xf numFmtId="166" fontId="0" fillId="5" borderId="0" xfId="0" applyNumberFormat="1" applyFill="1" applyAlignment="1">
      <alignment horizontal="left"/>
    </xf>
    <xf numFmtId="167" fontId="29" fillId="0" borderId="1" xfId="9" applyNumberFormat="1" applyFont="1" applyBorder="1" applyAlignment="1">
      <alignment horizontal="center" vertical="center"/>
    </xf>
    <xf numFmtId="167" fontId="29" fillId="0" borderId="11" xfId="9" applyNumberFormat="1" applyFont="1" applyBorder="1" applyAlignment="1">
      <alignment horizontal="center" vertical="center"/>
    </xf>
    <xf numFmtId="166" fontId="28" fillId="7" borderId="0" xfId="0" applyNumberFormat="1" applyFont="1" applyFill="1" applyAlignment="1">
      <alignment horizontal="left"/>
    </xf>
    <xf numFmtId="166" fontId="28" fillId="7" borderId="0" xfId="0" applyNumberFormat="1" applyFont="1" applyFill="1"/>
    <xf numFmtId="166" fontId="28" fillId="5" borderId="0" xfId="0" applyNumberFormat="1" applyFont="1" applyFill="1" applyAlignment="1">
      <alignment horizontal="left"/>
    </xf>
    <xf numFmtId="166" fontId="28" fillId="5" borderId="0" xfId="0" applyNumberFormat="1" applyFont="1" applyFill="1"/>
    <xf numFmtId="167" fontId="32" fillId="0" borderId="1" xfId="9" applyNumberFormat="1" applyFont="1" applyBorder="1" applyAlignment="1">
      <alignment horizontal="center" vertical="center"/>
    </xf>
    <xf numFmtId="164" fontId="3" fillId="7" borderId="0" xfId="0" applyNumberFormat="1" applyFont="1" applyFill="1"/>
    <xf numFmtId="0" fontId="11" fillId="7" borderId="0" xfId="0" applyFont="1" applyFill="1"/>
    <xf numFmtId="164" fontId="11" fillId="7" borderId="0" xfId="0" applyNumberFormat="1" applyFont="1" applyFill="1"/>
    <xf numFmtId="2" fontId="3" fillId="7" borderId="6" xfId="0" applyNumberFormat="1" applyFont="1" applyFill="1" applyBorder="1" applyAlignment="1">
      <alignment horizontal="right"/>
    </xf>
    <xf numFmtId="2" fontId="11" fillId="8" borderId="0" xfId="0" applyNumberFormat="1" applyFont="1" applyFill="1"/>
    <xf numFmtId="164" fontId="23" fillId="0" borderId="11" xfId="11" applyNumberFormat="1" applyFont="1" applyBorder="1" applyAlignment="1">
      <alignment horizontal="center" vertical="center"/>
    </xf>
    <xf numFmtId="0" fontId="3" fillId="7" borderId="0" xfId="0" applyFont="1" applyFill="1" applyAlignment="1">
      <alignment horizontal="left"/>
    </xf>
    <xf numFmtId="0" fontId="3" fillId="7" borderId="27" xfId="0" applyFont="1" applyFill="1" applyBorder="1"/>
    <xf numFmtId="2" fontId="31" fillId="7" borderId="0" xfId="0" applyNumberFormat="1" applyFont="1" applyFill="1" applyAlignment="1">
      <alignment horizontal="right"/>
    </xf>
    <xf numFmtId="166" fontId="3" fillId="2" borderId="4" xfId="0" applyNumberFormat="1" applyFont="1" applyFill="1" applyBorder="1" applyAlignment="1">
      <alignment horizontal="center" vertical="center"/>
    </xf>
    <xf numFmtId="0" fontId="11" fillId="7" borderId="7" xfId="0" applyFont="1" applyFill="1" applyBorder="1"/>
    <xf numFmtId="164" fontId="11" fillId="7" borderId="7" xfId="0" applyNumberFormat="1" applyFont="1" applyFill="1" applyBorder="1"/>
    <xf numFmtId="2" fontId="13" fillId="5" borderId="0" xfId="0" applyNumberFormat="1" applyFont="1" applyFill="1" applyAlignment="1">
      <alignment horizontal="right"/>
    </xf>
    <xf numFmtId="166" fontId="11" fillId="0" borderId="0" xfId="0" applyNumberFormat="1" applyFont="1"/>
    <xf numFmtId="166" fontId="0" fillId="0" borderId="0" xfId="0" quotePrefix="1" applyNumberFormat="1" applyAlignment="1">
      <alignment horizontal="left"/>
    </xf>
    <xf numFmtId="166" fontId="28" fillId="0" borderId="0" xfId="0" applyNumberFormat="1" applyFont="1" applyAlignment="1">
      <alignment horizontal="left"/>
    </xf>
    <xf numFmtId="0" fontId="13" fillId="6" borderId="0" xfId="4" applyFont="1" applyFill="1" applyAlignment="1">
      <alignment horizontal="left"/>
    </xf>
    <xf numFmtId="0" fontId="3" fillId="5" borderId="27" xfId="0" applyFont="1" applyFill="1" applyBorder="1"/>
    <xf numFmtId="2" fontId="31" fillId="5" borderId="0" xfId="0" applyNumberFormat="1" applyFont="1" applyFill="1" applyAlignment="1">
      <alignment horizontal="right"/>
    </xf>
    <xf numFmtId="166" fontId="3" fillId="3" borderId="25" xfId="1" applyNumberFormat="1" applyFill="1" applyBorder="1" applyAlignment="1">
      <alignment horizontal="center" vertical="center" wrapText="1"/>
    </xf>
    <xf numFmtId="0" fontId="3" fillId="5" borderId="26" xfId="0" applyFont="1" applyFill="1" applyBorder="1"/>
    <xf numFmtId="2" fontId="30" fillId="5" borderId="5" xfId="0" applyNumberFormat="1" applyFont="1" applyFill="1" applyBorder="1" applyAlignment="1">
      <alignment horizontal="right"/>
    </xf>
    <xf numFmtId="0" fontId="13" fillId="5" borderId="5" xfId="4" applyFont="1" applyFill="1" applyBorder="1" applyAlignment="1">
      <alignment horizontal="left"/>
    </xf>
    <xf numFmtId="166" fontId="11" fillId="0" borderId="6" xfId="0" applyNumberFormat="1" applyFont="1" applyBorder="1"/>
    <xf numFmtId="166" fontId="3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33" fillId="5" borderId="0" xfId="0" applyNumberFormat="1" applyFont="1" applyFill="1"/>
    <xf numFmtId="2" fontId="3" fillId="7" borderId="0" xfId="0" applyNumberFormat="1" applyFont="1" applyFill="1"/>
    <xf numFmtId="166" fontId="28" fillId="7" borderId="14" xfId="0" applyNumberFormat="1" applyFont="1" applyFill="1" applyBorder="1" applyAlignment="1">
      <alignment horizontal="left"/>
    </xf>
    <xf numFmtId="166" fontId="3" fillId="3" borderId="25" xfId="1" applyNumberFormat="1" applyFill="1" applyBorder="1" applyAlignment="1">
      <alignment horizontal="center" vertical="center" wrapText="1"/>
    </xf>
    <xf numFmtId="0" fontId="0" fillId="0" borderId="25" xfId="0" applyBorder="1"/>
    <xf numFmtId="0" fontId="21" fillId="0" borderId="28" xfId="0" applyFont="1" applyBorder="1" applyAlignment="1">
      <alignment horizontal="center" vertical="center"/>
    </xf>
    <xf numFmtId="0" fontId="0" fillId="0" borderId="17" xfId="0" applyBorder="1"/>
    <xf numFmtId="0" fontId="21" fillId="0" borderId="8" xfId="0" applyFont="1" applyBorder="1" applyAlignment="1">
      <alignment horizontal="center" vertical="center"/>
    </xf>
    <xf numFmtId="0" fontId="0" fillId="0" borderId="18" xfId="0" applyBorder="1"/>
    <xf numFmtId="0" fontId="21" fillId="0" borderId="8" xfId="0" applyFont="1" applyBorder="1" applyAlignment="1">
      <alignment horizontal="center" vertical="center" wrapText="1"/>
    </xf>
    <xf numFmtId="0" fontId="0" fillId="0" borderId="21" xfId="0" applyBorder="1"/>
    <xf numFmtId="0" fontId="21" fillId="0" borderId="28" xfId="0" applyFont="1" applyBorder="1" applyAlignment="1">
      <alignment horizontal="center" vertical="center" wrapText="1"/>
    </xf>
    <xf numFmtId="0" fontId="0" fillId="0" borderId="20" xfId="0" applyBorder="1"/>
    <xf numFmtId="0" fontId="24" fillId="10" borderId="3" xfId="0" applyFont="1" applyFill="1" applyBorder="1" applyAlignment="1">
      <alignment horizontal="center"/>
    </xf>
    <xf numFmtId="0" fontId="0" fillId="0" borderId="3" xfId="0" applyBorder="1"/>
    <xf numFmtId="0" fontId="24" fillId="10" borderId="0" xfId="0" applyFont="1" applyFill="1" applyAlignment="1">
      <alignment horizontal="center"/>
    </xf>
    <xf numFmtId="0" fontId="0" fillId="0" borderId="0" xfId="0"/>
    <xf numFmtId="166" fontId="3" fillId="3" borderId="4" xfId="1" applyNumberFormat="1" applyFill="1" applyBorder="1" applyAlignment="1">
      <alignment horizontal="center" vertical="center" wrapText="1"/>
    </xf>
    <xf numFmtId="0" fontId="0" fillId="0" borderId="4" xfId="0" applyBorder="1"/>
  </cellXfs>
  <cellStyles count="19">
    <cellStyle name="Normal - Style1 2 2 3" xfId="16" xr:uid="{00000000-0005-0000-0000-000010000000}"/>
    <cellStyle name="Normal 10" xfId="1" xr:uid="{00000000-0005-0000-0000-000001000000}"/>
    <cellStyle name="Normal 10 15 2" xfId="18" xr:uid="{00000000-0005-0000-0000-000012000000}"/>
    <cellStyle name="Normal 2" xfId="5" xr:uid="{00000000-0005-0000-0000-000005000000}"/>
    <cellStyle name="Normal 3" xfId="2" xr:uid="{00000000-0005-0000-0000-000002000000}"/>
    <cellStyle name="Normal 39 2 2" xfId="17" xr:uid="{00000000-0005-0000-0000-000011000000}"/>
    <cellStyle name="Normal 4" xfId="3" xr:uid="{00000000-0005-0000-0000-000003000000}"/>
    <cellStyle name="Normal 5" xfId="11" xr:uid="{00000000-0005-0000-0000-00000B000000}"/>
    <cellStyle name="Normal_MIN" xfId="14" xr:uid="{00000000-0005-0000-0000-00000E000000}"/>
    <cellStyle name="Normale" xfId="0" builtinId="0"/>
    <cellStyle name="Normalny 2" xfId="4" xr:uid="{00000000-0005-0000-0000-000004000000}"/>
    <cellStyle name="Normalny 43" xfId="7" xr:uid="{00000000-0005-0000-0000-000007000000}"/>
    <cellStyle name="Normalny 43 2" xfId="12" xr:uid="{00000000-0005-0000-0000-00000C000000}"/>
    <cellStyle name="Normalny_S301-339-05" xfId="9" xr:uid="{00000000-0005-0000-0000-000009000000}"/>
    <cellStyle name="Normalny_T206" xfId="10" xr:uid="{00000000-0005-0000-0000-00000A000000}"/>
    <cellStyle name="Per cent 2" xfId="6" xr:uid="{00000000-0005-0000-0000-000006000000}"/>
    <cellStyle name="Percentuale" xfId="8" builtinId="5"/>
    <cellStyle name="Percentuale 2" xfId="13" xr:uid="{00000000-0005-0000-0000-00000D000000}"/>
    <cellStyle name="Procentowy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customHeight="1" x14ac:dyDescent="0.2">
      <c r="B2" s="58" t="s">
        <v>87</v>
      </c>
      <c r="C2" s="58"/>
    </row>
    <row r="4" spans="2:10" x14ac:dyDescent="0.2">
      <c r="B4" s="67"/>
      <c r="C4" s="67"/>
    </row>
    <row r="5" spans="2:10" ht="13.5" customHeight="1" thickBot="1" x14ac:dyDescent="0.25">
      <c r="B5" s="67" t="s">
        <v>88</v>
      </c>
      <c r="C5" s="67"/>
    </row>
    <row r="6" spans="2:10" ht="51" customHeight="1" x14ac:dyDescent="0.2">
      <c r="B6" s="160" t="s">
        <v>89</v>
      </c>
      <c r="C6" s="158" t="s">
        <v>90</v>
      </c>
      <c r="D6" s="70" t="s">
        <v>91</v>
      </c>
      <c r="E6" s="70" t="s">
        <v>92</v>
      </c>
      <c r="F6" s="70" t="s">
        <v>93</v>
      </c>
      <c r="G6" s="70" t="s">
        <v>94</v>
      </c>
      <c r="H6" s="70" t="s">
        <v>95</v>
      </c>
      <c r="I6" s="70" t="s">
        <v>94</v>
      </c>
      <c r="J6" s="71" t="s">
        <v>95</v>
      </c>
    </row>
    <row r="7" spans="2:10" ht="51" customHeight="1" x14ac:dyDescent="0.2">
      <c r="B7" s="161"/>
      <c r="C7" s="159"/>
      <c r="D7" s="19" t="s">
        <v>96</v>
      </c>
      <c r="E7" s="19" t="s">
        <v>97</v>
      </c>
      <c r="F7" s="19" t="s">
        <v>98</v>
      </c>
      <c r="G7" s="19" t="s">
        <v>99</v>
      </c>
      <c r="H7" s="19" t="s">
        <v>100</v>
      </c>
      <c r="I7" s="19" t="s">
        <v>99</v>
      </c>
      <c r="J7" s="19" t="s">
        <v>100</v>
      </c>
    </row>
    <row r="8" spans="2:10" ht="15.75" customHeight="1" x14ac:dyDescent="0.2">
      <c r="B8" s="155"/>
      <c r="C8" s="157"/>
      <c r="D8" s="66" t="s">
        <v>101</v>
      </c>
      <c r="E8" s="66" t="s">
        <v>102</v>
      </c>
      <c r="F8" s="66" t="s">
        <v>103</v>
      </c>
      <c r="G8" s="66" t="s">
        <v>104</v>
      </c>
      <c r="H8" s="66" t="s">
        <v>105</v>
      </c>
      <c r="I8" s="66" t="s">
        <v>106</v>
      </c>
      <c r="J8" s="72" t="s">
        <v>107</v>
      </c>
    </row>
    <row r="9" spans="2:10" x14ac:dyDescent="0.2">
      <c r="B9" s="73" t="s">
        <v>108</v>
      </c>
      <c r="C9" s="103" t="s">
        <v>109</v>
      </c>
      <c r="D9" s="65">
        <v>600</v>
      </c>
      <c r="E9" s="65">
        <v>4500</v>
      </c>
      <c r="F9" s="121">
        <v>0</v>
      </c>
      <c r="G9" s="121">
        <v>1790</v>
      </c>
      <c r="H9" s="121">
        <v>23500</v>
      </c>
      <c r="I9" s="115"/>
      <c r="J9" s="116"/>
    </row>
    <row r="10" spans="2:10" x14ac:dyDescent="0.2">
      <c r="B10" s="73" t="s">
        <v>110</v>
      </c>
      <c r="C10" s="103" t="s">
        <v>111</v>
      </c>
      <c r="D10" s="65">
        <v>550</v>
      </c>
      <c r="E10" s="65">
        <v>4100</v>
      </c>
      <c r="F10" s="121">
        <v>0</v>
      </c>
      <c r="G10" s="121">
        <v>2450</v>
      </c>
      <c r="H10" s="121">
        <v>11000</v>
      </c>
      <c r="I10" s="115"/>
      <c r="J10" s="116"/>
    </row>
    <row r="11" spans="2:10" x14ac:dyDescent="0.2">
      <c r="B11" s="73" t="s">
        <v>112</v>
      </c>
      <c r="C11" s="103" t="s">
        <v>113</v>
      </c>
      <c r="D11" s="65">
        <v>74</v>
      </c>
      <c r="E11" s="65">
        <v>247</v>
      </c>
      <c r="F11" s="121">
        <v>0</v>
      </c>
      <c r="G11" s="115">
        <v>3500</v>
      </c>
      <c r="H11" s="121">
        <v>11000</v>
      </c>
      <c r="I11" s="115"/>
      <c r="J11" s="116"/>
    </row>
    <row r="12" spans="2:10" x14ac:dyDescent="0.2">
      <c r="B12" s="73" t="s">
        <v>114</v>
      </c>
      <c r="C12" s="103" t="s">
        <v>115</v>
      </c>
      <c r="D12" s="65">
        <v>240</v>
      </c>
      <c r="E12" s="65">
        <v>123</v>
      </c>
      <c r="F12" s="121">
        <v>0</v>
      </c>
      <c r="G12" s="121">
        <v>0</v>
      </c>
      <c r="H12" s="115"/>
      <c r="I12" s="115"/>
      <c r="J12" s="116"/>
    </row>
    <row r="13" spans="2:10" x14ac:dyDescent="0.2">
      <c r="B13" s="73" t="s">
        <v>116</v>
      </c>
      <c r="C13" s="103" t="s">
        <v>117</v>
      </c>
      <c r="D13" s="65">
        <v>70</v>
      </c>
      <c r="E13" s="65">
        <v>50</v>
      </c>
      <c r="F13" s="121">
        <v>0</v>
      </c>
      <c r="G13" s="121">
        <v>0</v>
      </c>
      <c r="H13" s="115"/>
      <c r="I13" s="115"/>
      <c r="J13" s="116"/>
    </row>
    <row r="14" spans="2:10" x14ac:dyDescent="0.2">
      <c r="B14" s="73" t="s">
        <v>118</v>
      </c>
      <c r="C14" s="103" t="s">
        <v>119</v>
      </c>
      <c r="D14" s="65">
        <v>1890</v>
      </c>
      <c r="E14" s="65">
        <v>2770</v>
      </c>
      <c r="F14" s="121">
        <v>0</v>
      </c>
      <c r="G14" s="121">
        <v>0</v>
      </c>
      <c r="H14" s="115"/>
      <c r="I14" s="115"/>
      <c r="J14" s="116"/>
    </row>
    <row r="15" spans="2:10" x14ac:dyDescent="0.2">
      <c r="B15" s="73" t="s">
        <v>120</v>
      </c>
      <c r="C15" s="103" t="s">
        <v>121</v>
      </c>
      <c r="D15" s="65">
        <v>1540</v>
      </c>
      <c r="E15" s="65">
        <v>1910</v>
      </c>
      <c r="F15" s="121">
        <v>0</v>
      </c>
      <c r="G15" s="121">
        <v>0</v>
      </c>
      <c r="H15" s="115"/>
      <c r="I15" s="115"/>
      <c r="J15" s="116"/>
    </row>
    <row r="16" spans="2:10" ht="13.5" customHeight="1" thickBot="1" x14ac:dyDescent="0.25">
      <c r="B16" s="74" t="s">
        <v>122</v>
      </c>
      <c r="C16" s="104" t="s">
        <v>123</v>
      </c>
      <c r="D16" s="75">
        <f>SUM(D9:D15)</f>
        <v>4964</v>
      </c>
      <c r="E16" s="76">
        <f>SUM(E9:E15)</f>
        <v>13700</v>
      </c>
      <c r="F16" s="76">
        <f>SUM(F9:F15)</f>
        <v>0</v>
      </c>
      <c r="G16" s="76">
        <f>SUM(G9:G15)</f>
        <v>7740</v>
      </c>
      <c r="H16" s="75"/>
      <c r="I16" s="75"/>
      <c r="J16" s="77"/>
    </row>
    <row r="17" spans="2:16" ht="15.75" customHeight="1" x14ac:dyDescent="0.2">
      <c r="B17" s="69" t="s">
        <v>124</v>
      </c>
      <c r="C17" s="69"/>
    </row>
    <row r="18" spans="2:16" x14ac:dyDescent="0.2">
      <c r="B18" s="69" t="s">
        <v>125</v>
      </c>
      <c r="C18" s="69"/>
    </row>
    <row r="19" spans="2:16" x14ac:dyDescent="0.2">
      <c r="B19" s="108" t="s">
        <v>126</v>
      </c>
      <c r="C19" s="69"/>
    </row>
    <row r="20" spans="2:16" x14ac:dyDescent="0.2">
      <c r="B20" s="69" t="s">
        <v>127</v>
      </c>
      <c r="C20" s="69"/>
    </row>
    <row r="21" spans="2:16" x14ac:dyDescent="0.2">
      <c r="B21" s="67"/>
      <c r="C21" s="67"/>
      <c r="D21" s="67"/>
      <c r="E21" s="67"/>
      <c r="F21" s="67"/>
    </row>
    <row r="22" spans="2:16" x14ac:dyDescent="0.2">
      <c r="B22" s="67"/>
      <c r="C22" s="67"/>
      <c r="D22" s="67"/>
      <c r="E22" s="67"/>
      <c r="F22" s="67"/>
    </row>
    <row r="23" spans="2:16" ht="15" customHeight="1" x14ac:dyDescent="0.2">
      <c r="B23" s="58" t="s">
        <v>128</v>
      </c>
      <c r="C23" s="58"/>
      <c r="D23" s="67"/>
      <c r="E23" s="67"/>
      <c r="F23" s="67"/>
    </row>
    <row r="25" spans="2:16" x14ac:dyDescent="0.2">
      <c r="B25" s="67" t="s">
        <v>129</v>
      </c>
      <c r="C25" s="67"/>
      <c r="D25" s="67"/>
      <c r="E25" s="67"/>
      <c r="F25" s="67"/>
    </row>
    <row r="26" spans="2:16" ht="13.5" customHeight="1" thickBot="1" x14ac:dyDescent="0.25">
      <c r="B26" s="67" t="s">
        <v>130</v>
      </c>
      <c r="C26" s="67"/>
      <c r="D26" s="67"/>
      <c r="E26" s="67"/>
      <c r="F26" s="67"/>
    </row>
    <row r="27" spans="2:16" ht="31.7" customHeight="1" x14ac:dyDescent="0.2">
      <c r="B27" s="154" t="s">
        <v>131</v>
      </c>
      <c r="C27" s="156" t="s">
        <v>132</v>
      </c>
      <c r="D27" s="70" t="s">
        <v>133</v>
      </c>
      <c r="E27" s="78" t="s">
        <v>134</v>
      </c>
      <c r="F27" s="67"/>
    </row>
    <row r="28" spans="2:16" ht="31.7" customHeight="1" x14ac:dyDescent="0.2">
      <c r="B28" s="155"/>
      <c r="C28" s="157"/>
      <c r="D28" s="19" t="s">
        <v>135</v>
      </c>
      <c r="E28" s="107" t="s">
        <v>23</v>
      </c>
      <c r="F28" s="67"/>
    </row>
    <row r="29" spans="2:16" x14ac:dyDescent="0.2">
      <c r="B29" s="79" t="s">
        <v>136</v>
      </c>
      <c r="C29" s="105" t="s">
        <v>137</v>
      </c>
      <c r="D29" s="66" t="s">
        <v>138</v>
      </c>
      <c r="E29" s="127">
        <v>0.98499999999999999</v>
      </c>
      <c r="F29" s="67"/>
      <c r="G29" s="1"/>
    </row>
    <row r="30" spans="2:16" x14ac:dyDescent="0.2">
      <c r="B30" s="79" t="s">
        <v>136</v>
      </c>
      <c r="C30" s="105" t="s">
        <v>137</v>
      </c>
      <c r="D30" s="66" t="s">
        <v>139</v>
      </c>
      <c r="E30" s="127">
        <v>0.95299999999999996</v>
      </c>
      <c r="F30" s="67"/>
      <c r="G30" s="1"/>
    </row>
    <row r="31" spans="2:16" x14ac:dyDescent="0.2">
      <c r="B31" s="79" t="s">
        <v>136</v>
      </c>
      <c r="C31" s="105" t="s">
        <v>137</v>
      </c>
      <c r="D31" s="66" t="s">
        <v>140</v>
      </c>
      <c r="E31" s="127">
        <v>0.89800000000000002</v>
      </c>
      <c r="F31" s="67"/>
      <c r="G31" s="22"/>
    </row>
    <row r="32" spans="2:16" x14ac:dyDescent="0.2">
      <c r="B32" s="69"/>
      <c r="C32" s="67"/>
      <c r="D32" s="67"/>
      <c r="E32" s="68"/>
      <c r="F32" s="67"/>
      <c r="O32" s="22"/>
      <c r="P32" s="22"/>
    </row>
    <row r="33" spans="2:6" x14ac:dyDescent="0.2">
      <c r="B33" s="108"/>
      <c r="C33" s="67"/>
      <c r="D33" s="67"/>
      <c r="E33" s="68"/>
      <c r="F33" s="67"/>
    </row>
    <row r="34" spans="2:6" x14ac:dyDescent="0.2">
      <c r="B34" s="108"/>
      <c r="C34" s="67"/>
      <c r="D34" s="67"/>
      <c r="E34" s="68"/>
      <c r="F34" s="67"/>
    </row>
    <row r="35" spans="2:6" x14ac:dyDescent="0.2">
      <c r="B35" s="67"/>
      <c r="C35" s="67"/>
      <c r="D35" s="67"/>
      <c r="E35" s="68"/>
      <c r="F35" s="67"/>
    </row>
    <row r="36" spans="2:6" x14ac:dyDescent="0.2">
      <c r="B36" s="67"/>
      <c r="C36" s="67"/>
      <c r="D36" s="67"/>
      <c r="E36" s="68"/>
      <c r="F36" s="67"/>
    </row>
    <row r="37" spans="2:6" ht="15" customHeight="1" x14ac:dyDescent="0.2">
      <c r="B37" s="58" t="s">
        <v>141</v>
      </c>
      <c r="C37" s="58"/>
      <c r="D37" s="67"/>
      <c r="E37" s="68"/>
      <c r="F37" s="67"/>
    </row>
    <row r="38" spans="2:6" x14ac:dyDescent="0.2">
      <c r="B38" s="67"/>
      <c r="C38" s="67"/>
      <c r="D38" s="67"/>
      <c r="E38" s="68"/>
      <c r="F38" s="67"/>
    </row>
    <row r="39" spans="2:6" x14ac:dyDescent="0.2">
      <c r="B39" s="67" t="s">
        <v>142</v>
      </c>
      <c r="C39" s="67"/>
      <c r="D39" s="67"/>
      <c r="E39" s="68"/>
      <c r="F39" s="67"/>
    </row>
    <row r="40" spans="2:6" ht="13.5" customHeight="1" thickBot="1" x14ac:dyDescent="0.25">
      <c r="B40" s="67"/>
      <c r="C40" s="67"/>
      <c r="D40" s="67"/>
      <c r="E40" s="68"/>
      <c r="F40" s="67"/>
    </row>
    <row r="41" spans="2:6" ht="24.75" customHeight="1" x14ac:dyDescent="0.2">
      <c r="B41" s="154" t="s">
        <v>143</v>
      </c>
      <c r="C41" s="156" t="s">
        <v>132</v>
      </c>
      <c r="D41" s="81" t="s">
        <v>144</v>
      </c>
      <c r="E41" s="71" t="s">
        <v>145</v>
      </c>
      <c r="F41" s="67"/>
    </row>
    <row r="42" spans="2:6" ht="24.75" customHeight="1" x14ac:dyDescent="0.2">
      <c r="B42" s="155"/>
      <c r="C42" s="157"/>
      <c r="D42" s="20" t="s">
        <v>41</v>
      </c>
      <c r="E42" s="106" t="s">
        <v>146</v>
      </c>
      <c r="F42" s="67"/>
    </row>
    <row r="43" spans="2:6" x14ac:dyDescent="0.2">
      <c r="B43" s="79" t="s">
        <v>136</v>
      </c>
      <c r="C43" s="105" t="s">
        <v>137</v>
      </c>
      <c r="D43" s="66" t="s">
        <v>147</v>
      </c>
      <c r="E43" s="80">
        <f>SUM(E9:E15)*E29/1000</f>
        <v>13.4945</v>
      </c>
      <c r="F43" s="67"/>
    </row>
    <row r="44" spans="2:6" x14ac:dyDescent="0.2">
      <c r="B44" s="69" t="s">
        <v>148</v>
      </c>
      <c r="C44" s="67"/>
      <c r="D44" s="67"/>
      <c r="E44" s="67"/>
      <c r="F44" s="67"/>
    </row>
    <row r="45" spans="2:6" x14ac:dyDescent="0.2">
      <c r="B45" s="108" t="s">
        <v>149</v>
      </c>
      <c r="C45" s="67"/>
      <c r="D45" s="67"/>
      <c r="E45" s="67"/>
      <c r="F45" s="67"/>
    </row>
    <row r="46" spans="2:6" x14ac:dyDescent="0.2">
      <c r="B46" s="108" t="s">
        <v>150</v>
      </c>
    </row>
    <row r="48" spans="2:6" x14ac:dyDescent="0.2">
      <c r="B48" s="67"/>
      <c r="C48" s="67"/>
    </row>
  </sheetData>
  <mergeCells count="6">
    <mergeCell ref="B27:B28"/>
    <mergeCell ref="C41:C42"/>
    <mergeCell ref="C27:C28"/>
    <mergeCell ref="B41:B42"/>
    <mergeCell ref="C6:C8"/>
    <mergeCell ref="B6:B8"/>
  </mergeCells>
  <pageMargins left="0.7" right="0.7" top="0.75" bottom="0.75" header="0.3" footer="0.3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I47"/>
  <sheetViews>
    <sheetView zoomScaleNormal="100" workbookViewId="0">
      <selection activeCell="N28" sqref="N28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customHeight="1" x14ac:dyDescent="0.25">
      <c r="B2" s="95" t="s">
        <v>151</v>
      </c>
      <c r="C2" s="96"/>
      <c r="D2" s="96"/>
      <c r="E2" s="41"/>
      <c r="F2" s="41"/>
      <c r="G2" s="41"/>
      <c r="H2" s="41"/>
      <c r="I2" s="41"/>
    </row>
    <row r="3" spans="2:9" ht="17.45" customHeight="1" x14ac:dyDescent="0.2">
      <c r="B3" s="42"/>
      <c r="C3" s="41"/>
      <c r="D3" s="41"/>
      <c r="E3" s="41"/>
      <c r="F3" s="41"/>
      <c r="G3" s="41"/>
      <c r="H3" s="41"/>
      <c r="I3" s="41"/>
    </row>
    <row r="4" spans="2:9" ht="17.45" customHeight="1" x14ac:dyDescent="0.2">
      <c r="B4" s="42" t="s">
        <v>152</v>
      </c>
      <c r="C4" s="41"/>
      <c r="D4" s="41"/>
      <c r="E4" s="41"/>
      <c r="F4" s="41"/>
      <c r="G4" s="41"/>
      <c r="H4" s="41"/>
      <c r="I4" s="41"/>
    </row>
    <row r="5" spans="2:9" ht="15.75" customHeight="1" x14ac:dyDescent="0.2">
      <c r="B5" s="101" t="s">
        <v>38</v>
      </c>
      <c r="C5" s="101" t="s">
        <v>39</v>
      </c>
      <c r="D5" s="101" t="s">
        <v>40</v>
      </c>
      <c r="E5" s="101" t="s">
        <v>41</v>
      </c>
      <c r="F5" s="131" t="s">
        <v>42</v>
      </c>
      <c r="G5" s="101" t="s">
        <v>43</v>
      </c>
      <c r="H5" s="101" t="s">
        <v>44</v>
      </c>
      <c r="I5" s="101" t="s">
        <v>45</v>
      </c>
    </row>
    <row r="6" spans="2:9" ht="39.75" customHeight="1" thickBot="1" x14ac:dyDescent="0.25">
      <c r="B6" s="18" t="s">
        <v>46</v>
      </c>
      <c r="C6" s="18" t="s">
        <v>47</v>
      </c>
      <c r="D6" s="18" t="s">
        <v>48</v>
      </c>
      <c r="E6" s="18" t="s">
        <v>41</v>
      </c>
      <c r="F6" s="18" t="s">
        <v>49</v>
      </c>
      <c r="G6" s="18" t="s">
        <v>50</v>
      </c>
      <c r="H6" s="18" t="s">
        <v>51</v>
      </c>
      <c r="I6" s="18" t="s">
        <v>52</v>
      </c>
    </row>
    <row r="7" spans="2:9" ht="18.75" customHeight="1" x14ac:dyDescent="0.2">
      <c r="B7" s="117" t="s">
        <v>53</v>
      </c>
      <c r="C7" s="151" t="s">
        <v>153</v>
      </c>
      <c r="D7" s="151" t="s">
        <v>154</v>
      </c>
      <c r="E7" s="151" t="s">
        <v>56</v>
      </c>
      <c r="F7" s="151"/>
      <c r="G7" s="151" t="s">
        <v>155</v>
      </c>
      <c r="H7" s="151" t="s">
        <v>156</v>
      </c>
      <c r="I7" s="151" t="s">
        <v>157</v>
      </c>
    </row>
    <row r="8" spans="2:9" ht="18.75" customHeight="1" x14ac:dyDescent="0.2">
      <c r="B8" s="137" t="s">
        <v>158</v>
      </c>
      <c r="C8" s="137" t="s">
        <v>159</v>
      </c>
      <c r="D8" s="137" t="s">
        <v>160</v>
      </c>
      <c r="E8" s="137" t="s">
        <v>104</v>
      </c>
      <c r="F8" s="137"/>
      <c r="G8" s="137"/>
      <c r="H8" s="137" t="s">
        <v>156</v>
      </c>
      <c r="I8" s="137"/>
    </row>
    <row r="9" spans="2:9" ht="18.75" customHeight="1" x14ac:dyDescent="0.2">
      <c r="B9" s="117" t="s">
        <v>161</v>
      </c>
      <c r="C9" s="117"/>
      <c r="D9" s="117"/>
      <c r="E9" s="117"/>
      <c r="F9" s="117"/>
      <c r="G9" s="117"/>
      <c r="H9" s="117"/>
      <c r="I9" s="117"/>
    </row>
    <row r="10" spans="2:9" x14ac:dyDescent="0.2">
      <c r="I10" s="44"/>
    </row>
    <row r="12" spans="2:9" ht="18" customHeight="1" x14ac:dyDescent="0.25">
      <c r="B12" s="95" t="s">
        <v>162</v>
      </c>
      <c r="C12" s="96"/>
      <c r="D12" s="96"/>
      <c r="E12" s="23"/>
      <c r="F12" s="23"/>
      <c r="G12" s="23"/>
      <c r="H12" s="23"/>
      <c r="I12" s="23"/>
    </row>
    <row r="13" spans="2:9" x14ac:dyDescent="0.2">
      <c r="D13" s="23"/>
      <c r="E13" s="23"/>
      <c r="F13" s="23"/>
      <c r="G13" s="23"/>
      <c r="H13" s="23"/>
      <c r="I13" s="23"/>
    </row>
    <row r="14" spans="2:9" x14ac:dyDescent="0.2">
      <c r="B14" s="42" t="s">
        <v>37</v>
      </c>
      <c r="C14" s="41"/>
      <c r="D14" s="41"/>
      <c r="E14" s="41"/>
      <c r="F14" s="41"/>
      <c r="G14" s="41"/>
      <c r="H14" s="41"/>
      <c r="I14" s="41"/>
    </row>
    <row r="15" spans="2:9" x14ac:dyDescent="0.2">
      <c r="B15" s="101" t="s">
        <v>38</v>
      </c>
      <c r="C15" s="101" t="s">
        <v>39</v>
      </c>
      <c r="D15" s="101" t="s">
        <v>40</v>
      </c>
      <c r="E15" s="101" t="s">
        <v>41</v>
      </c>
      <c r="F15" s="101" t="s">
        <v>42</v>
      </c>
      <c r="G15" s="101" t="s">
        <v>43</v>
      </c>
      <c r="H15" s="101" t="s">
        <v>44</v>
      </c>
      <c r="I15" s="101" t="s">
        <v>45</v>
      </c>
    </row>
    <row r="16" spans="2:9" ht="38.25" customHeight="1" x14ac:dyDescent="0.2">
      <c r="B16" s="18" t="s">
        <v>46</v>
      </c>
      <c r="C16" s="18" t="s">
        <v>47</v>
      </c>
      <c r="D16" s="18" t="s">
        <v>48</v>
      </c>
      <c r="E16" s="18" t="s">
        <v>41</v>
      </c>
      <c r="F16" s="18" t="s">
        <v>49</v>
      </c>
      <c r="G16" s="18" t="s">
        <v>50</v>
      </c>
      <c r="H16" s="18" t="s">
        <v>51</v>
      </c>
      <c r="I16" s="18" t="s">
        <v>52</v>
      </c>
    </row>
    <row r="17" spans="2:9" x14ac:dyDescent="0.2">
      <c r="B17" s="64" t="s">
        <v>53</v>
      </c>
      <c r="C17" s="111" t="s">
        <v>54</v>
      </c>
      <c r="D17" s="64" t="s">
        <v>55</v>
      </c>
      <c r="E17" s="112" t="s">
        <v>56</v>
      </c>
      <c r="F17" s="63"/>
      <c r="G17" s="63"/>
      <c r="H17" s="63"/>
      <c r="I17" s="63"/>
    </row>
    <row r="18" spans="2:9" x14ac:dyDescent="0.2">
      <c r="B18" s="48" t="s">
        <v>53</v>
      </c>
      <c r="C18" s="109" t="s">
        <v>57</v>
      </c>
      <c r="D18" s="48" t="s">
        <v>58</v>
      </c>
      <c r="E18" s="110" t="s">
        <v>56</v>
      </c>
      <c r="F18" s="47"/>
      <c r="G18" s="47"/>
      <c r="H18" s="47"/>
      <c r="I18" s="47"/>
    </row>
    <row r="19" spans="2:9" x14ac:dyDescent="0.2">
      <c r="B19" s="64" t="s">
        <v>53</v>
      </c>
      <c r="C19" s="111" t="s">
        <v>59</v>
      </c>
      <c r="D19" s="64" t="s">
        <v>60</v>
      </c>
      <c r="E19" s="112" t="s">
        <v>56</v>
      </c>
      <c r="F19" s="63"/>
      <c r="G19" s="63"/>
      <c r="H19" s="63"/>
      <c r="I19" s="63"/>
    </row>
    <row r="20" spans="2:9" x14ac:dyDescent="0.2">
      <c r="B20" s="135" t="s">
        <v>53</v>
      </c>
      <c r="C20" s="41" t="s">
        <v>61</v>
      </c>
      <c r="D20" s="135" t="s">
        <v>62</v>
      </c>
      <c r="E20" s="136" t="s">
        <v>56</v>
      </c>
      <c r="F20" s="43"/>
      <c r="G20" s="43"/>
      <c r="H20" s="43"/>
      <c r="I20" s="43"/>
    </row>
    <row r="21" spans="2:9" x14ac:dyDescent="0.2">
      <c r="B21" s="64" t="s">
        <v>53</v>
      </c>
      <c r="C21" s="111" t="s">
        <v>63</v>
      </c>
      <c r="D21" s="64" t="s">
        <v>64</v>
      </c>
      <c r="E21" s="112" t="s">
        <v>56</v>
      </c>
      <c r="F21" s="63"/>
      <c r="G21" s="63"/>
      <c r="H21" s="63"/>
      <c r="I21" s="63"/>
    </row>
    <row r="22" spans="2:9" x14ac:dyDescent="0.2">
      <c r="B22" s="135" t="s">
        <v>53</v>
      </c>
      <c r="C22" s="41" t="s">
        <v>65</v>
      </c>
      <c r="D22" s="135" t="s">
        <v>66</v>
      </c>
      <c r="E22" s="136" t="s">
        <v>56</v>
      </c>
      <c r="F22" s="43"/>
      <c r="G22" s="43"/>
      <c r="H22" s="43"/>
      <c r="I22" s="43"/>
    </row>
    <row r="23" spans="2:9" x14ac:dyDescent="0.2">
      <c r="B23" s="64" t="s">
        <v>53</v>
      </c>
      <c r="C23" s="111" t="s">
        <v>67</v>
      </c>
      <c r="D23" s="111" t="s">
        <v>67</v>
      </c>
      <c r="E23" s="112" t="s">
        <v>56</v>
      </c>
      <c r="F23" s="63"/>
      <c r="G23" s="63"/>
      <c r="H23" s="63"/>
      <c r="I23" s="63"/>
    </row>
    <row r="24" spans="2:9" x14ac:dyDescent="0.2">
      <c r="B24" s="135" t="s">
        <v>53</v>
      </c>
      <c r="C24" s="41" t="s">
        <v>68</v>
      </c>
      <c r="D24" s="41" t="s">
        <v>69</v>
      </c>
      <c r="E24" s="136" t="s">
        <v>56</v>
      </c>
      <c r="F24" s="43"/>
      <c r="G24" s="43"/>
      <c r="H24" s="43"/>
      <c r="I24" s="43"/>
    </row>
    <row r="25" spans="2:9" x14ac:dyDescent="0.2">
      <c r="B25" s="64" t="s">
        <v>53</v>
      </c>
      <c r="C25" s="111" t="s">
        <v>70</v>
      </c>
      <c r="D25" s="111" t="s">
        <v>70</v>
      </c>
      <c r="E25" s="112" t="s">
        <v>56</v>
      </c>
      <c r="F25" s="63"/>
      <c r="G25" s="63"/>
      <c r="H25" s="63"/>
      <c r="I25" s="63"/>
    </row>
    <row r="26" spans="2:9" x14ac:dyDescent="0.2">
      <c r="B26" s="135" t="s">
        <v>53</v>
      </c>
      <c r="C26" s="41" t="s">
        <v>71</v>
      </c>
      <c r="D26" s="41" t="s">
        <v>71</v>
      </c>
      <c r="E26" s="136" t="s">
        <v>56</v>
      </c>
      <c r="F26" s="43"/>
      <c r="G26" s="43"/>
      <c r="H26" s="43"/>
      <c r="I26" s="43"/>
    </row>
    <row r="27" spans="2:9" x14ac:dyDescent="0.2">
      <c r="B27" s="64" t="s">
        <v>53</v>
      </c>
      <c r="C27" s="111" t="s">
        <v>72</v>
      </c>
      <c r="D27" s="111" t="s">
        <v>73</v>
      </c>
      <c r="E27" s="112" t="s">
        <v>56</v>
      </c>
      <c r="F27" s="63"/>
      <c r="G27" s="63"/>
      <c r="H27" s="63"/>
      <c r="I27" s="63"/>
    </row>
    <row r="28" spans="2:9" x14ac:dyDescent="0.2">
      <c r="B28" s="135" t="s">
        <v>53</v>
      </c>
      <c r="C28" s="41" t="s">
        <v>74</v>
      </c>
      <c r="D28" s="135" t="s">
        <v>75</v>
      </c>
      <c r="E28" s="136" t="s">
        <v>56</v>
      </c>
      <c r="F28" s="43"/>
      <c r="G28" s="43"/>
      <c r="H28" s="43"/>
      <c r="I28" s="43"/>
    </row>
    <row r="29" spans="2:9" x14ac:dyDescent="0.2">
      <c r="B29" s="64" t="s">
        <v>53</v>
      </c>
      <c r="C29" s="111" t="s">
        <v>30</v>
      </c>
      <c r="D29" s="64" t="s">
        <v>76</v>
      </c>
      <c r="E29" s="112" t="s">
        <v>56</v>
      </c>
      <c r="F29" s="63"/>
      <c r="G29" s="63"/>
      <c r="H29" s="63"/>
      <c r="I29" s="63"/>
    </row>
    <row r="30" spans="2:9" x14ac:dyDescent="0.2">
      <c r="B30" s="135" t="s">
        <v>53</v>
      </c>
      <c r="C30" s="41" t="s">
        <v>31</v>
      </c>
      <c r="D30" s="135" t="s">
        <v>77</v>
      </c>
      <c r="E30" s="136" t="s">
        <v>56</v>
      </c>
      <c r="F30" s="43"/>
      <c r="G30" s="43"/>
      <c r="H30" s="43"/>
      <c r="I30" s="43"/>
    </row>
    <row r="31" spans="2:9" x14ac:dyDescent="0.2">
      <c r="B31" s="64" t="s">
        <v>53</v>
      </c>
      <c r="C31" s="111" t="s">
        <v>32</v>
      </c>
      <c r="D31" s="64" t="s">
        <v>78</v>
      </c>
      <c r="E31" s="112" t="s">
        <v>56</v>
      </c>
      <c r="F31" s="63"/>
      <c r="G31" s="63"/>
      <c r="H31" s="63"/>
      <c r="I31" s="63"/>
    </row>
    <row r="32" spans="2:9" x14ac:dyDescent="0.2">
      <c r="B32" s="48" t="s">
        <v>53</v>
      </c>
      <c r="C32" s="109" t="s">
        <v>33</v>
      </c>
      <c r="D32" s="48" t="s">
        <v>79</v>
      </c>
      <c r="E32" s="110" t="s">
        <v>56</v>
      </c>
      <c r="F32" s="47"/>
      <c r="G32" s="47"/>
      <c r="H32" s="47"/>
      <c r="I32" s="47"/>
    </row>
    <row r="33" spans="2:9" x14ac:dyDescent="0.2">
      <c r="B33" s="64" t="s">
        <v>53</v>
      </c>
      <c r="C33" s="111" t="s">
        <v>35</v>
      </c>
      <c r="D33" s="64" t="s">
        <v>80</v>
      </c>
      <c r="E33" s="83" t="s">
        <v>56</v>
      </c>
      <c r="F33" s="63"/>
      <c r="G33" s="63"/>
      <c r="H33" s="63"/>
      <c r="I33" s="63"/>
    </row>
    <row r="34" spans="2:9" x14ac:dyDescent="0.2">
      <c r="B34" s="48" t="s">
        <v>53</v>
      </c>
      <c r="C34" s="109" t="s">
        <v>81</v>
      </c>
      <c r="D34" s="48" t="s">
        <v>81</v>
      </c>
      <c r="E34" s="114" t="s">
        <v>56</v>
      </c>
      <c r="F34" s="47"/>
      <c r="G34" s="47"/>
      <c r="H34" s="47"/>
      <c r="I34" s="47"/>
    </row>
    <row r="35" spans="2:9" x14ac:dyDescent="0.2">
      <c r="B35" s="64" t="s">
        <v>53</v>
      </c>
      <c r="C35" s="111" t="s">
        <v>36</v>
      </c>
      <c r="D35" s="64" t="s">
        <v>82</v>
      </c>
      <c r="E35" s="83" t="s">
        <v>56</v>
      </c>
      <c r="F35" s="63"/>
      <c r="G35" s="63"/>
      <c r="H35" s="63"/>
      <c r="I35" s="63"/>
    </row>
    <row r="36" spans="2:9" x14ac:dyDescent="0.2">
      <c r="B36" s="48" t="s">
        <v>53</v>
      </c>
      <c r="C36" s="109" t="s">
        <v>83</v>
      </c>
      <c r="D36" s="48" t="s">
        <v>84</v>
      </c>
      <c r="E36" s="114" t="s">
        <v>56</v>
      </c>
      <c r="F36" s="47"/>
      <c r="G36" s="47"/>
      <c r="H36" s="47"/>
      <c r="I36" s="47"/>
    </row>
    <row r="37" spans="2:9" x14ac:dyDescent="0.2">
      <c r="B37" s="64" t="s">
        <v>53</v>
      </c>
      <c r="C37" s="111" t="s">
        <v>85</v>
      </c>
      <c r="D37" s="64" t="s">
        <v>86</v>
      </c>
      <c r="E37" s="83" t="s">
        <v>56</v>
      </c>
      <c r="F37" s="63"/>
      <c r="G37" s="63"/>
      <c r="H37" s="63"/>
      <c r="I37" s="63"/>
    </row>
    <row r="38" spans="2:9" ht="13.5" customHeight="1" thickBot="1" x14ac:dyDescent="0.25">
      <c r="B38" s="145" t="s">
        <v>53</v>
      </c>
      <c r="C38" s="146" t="s">
        <v>34</v>
      </c>
      <c r="D38" s="145" t="s">
        <v>34</v>
      </c>
      <c r="E38" s="147" t="s">
        <v>56</v>
      </c>
      <c r="F38" s="148"/>
      <c r="G38" s="148"/>
      <c r="H38" s="148"/>
      <c r="I38" s="148"/>
    </row>
    <row r="42" spans="2:9" ht="13.5" customHeight="1" thickBot="1" x14ac:dyDescent="0.25">
      <c r="B42" s="162" t="s">
        <v>163</v>
      </c>
      <c r="C42" s="163"/>
    </row>
    <row r="43" spans="2:9" x14ac:dyDescent="0.2">
      <c r="B43" s="94" t="s">
        <v>53</v>
      </c>
      <c r="C43" s="94" t="s">
        <v>164</v>
      </c>
    </row>
    <row r="44" spans="2:9" x14ac:dyDescent="0.2">
      <c r="B44" s="8" t="s">
        <v>158</v>
      </c>
      <c r="C44" s="8" t="s">
        <v>165</v>
      </c>
    </row>
    <row r="45" spans="2:9" x14ac:dyDescent="0.2">
      <c r="B45" s="6" t="s">
        <v>166</v>
      </c>
      <c r="C45" s="6" t="s">
        <v>167</v>
      </c>
    </row>
    <row r="46" spans="2:9" x14ac:dyDescent="0.2">
      <c r="B46" s="8" t="s">
        <v>168</v>
      </c>
      <c r="C46" s="8" t="s">
        <v>169</v>
      </c>
    </row>
    <row r="47" spans="2:9" ht="13.5" customHeight="1" thickBot="1" x14ac:dyDescent="0.25">
      <c r="B47" s="2" t="s">
        <v>170</v>
      </c>
      <c r="C47" s="2" t="s">
        <v>171</v>
      </c>
    </row>
  </sheetData>
  <mergeCells count="1">
    <mergeCell ref="B42:C42"/>
  </mergeCells>
  <pageMargins left="0.75" right="0.75" top="1" bottom="1" header="0.5" footer="0.5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A1:J26"/>
  <sheetViews>
    <sheetView zoomScale="88" zoomScaleNormal="100" workbookViewId="0">
      <selection activeCell="D13" sqref="D13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98"/>
      <c r="C1" s="50"/>
      <c r="D1" s="50"/>
    </row>
    <row r="2" spans="1:10" ht="18.75" customHeight="1" x14ac:dyDescent="0.25">
      <c r="A2" s="32"/>
      <c r="B2" s="99" t="s">
        <v>172</v>
      </c>
      <c r="C2" s="99"/>
      <c r="D2" s="99"/>
      <c r="E2" s="43"/>
      <c r="F2" s="43"/>
      <c r="G2" s="43"/>
      <c r="H2" s="43"/>
      <c r="I2" s="43"/>
      <c r="J2" s="43"/>
    </row>
    <row r="3" spans="1:10" ht="12.75" customHeight="1" x14ac:dyDescent="0.2"/>
    <row r="4" spans="1:10" ht="18" customHeight="1" x14ac:dyDescent="0.2">
      <c r="B4" s="42" t="s">
        <v>173</v>
      </c>
      <c r="C4" s="42"/>
      <c r="D4" s="43"/>
      <c r="E4" s="43"/>
      <c r="F4" s="43"/>
      <c r="G4" s="43"/>
      <c r="H4" s="43"/>
      <c r="I4" s="43"/>
      <c r="J4" s="43"/>
    </row>
    <row r="5" spans="1:10" ht="15.75" customHeight="1" x14ac:dyDescent="0.2">
      <c r="B5" s="101" t="s">
        <v>174</v>
      </c>
      <c r="C5" s="101" t="s">
        <v>175</v>
      </c>
      <c r="D5" s="101" t="s">
        <v>2</v>
      </c>
      <c r="E5" s="101" t="s">
        <v>176</v>
      </c>
      <c r="F5" s="101" t="s">
        <v>177</v>
      </c>
      <c r="G5" s="101" t="s">
        <v>178</v>
      </c>
      <c r="H5" s="101" t="s">
        <v>179</v>
      </c>
      <c r="I5" s="101" t="s">
        <v>180</v>
      </c>
      <c r="J5" s="101" t="s">
        <v>181</v>
      </c>
    </row>
    <row r="6" spans="1:10" ht="30" customHeight="1" thickBot="1" x14ac:dyDescent="0.25">
      <c r="B6" s="18" t="s">
        <v>182</v>
      </c>
      <c r="C6" s="18" t="s">
        <v>183</v>
      </c>
      <c r="D6" s="18" t="s">
        <v>184</v>
      </c>
      <c r="E6" s="18" t="s">
        <v>20</v>
      </c>
      <c r="F6" s="18" t="s">
        <v>185</v>
      </c>
      <c r="G6" s="18" t="s">
        <v>186</v>
      </c>
      <c r="H6" s="18" t="s">
        <v>50</v>
      </c>
      <c r="I6" s="18" t="s">
        <v>187</v>
      </c>
      <c r="J6" s="18" t="s">
        <v>188</v>
      </c>
    </row>
    <row r="7" spans="1:10" ht="18.75" customHeight="1" x14ac:dyDescent="0.2">
      <c r="B7" s="149" t="s">
        <v>161</v>
      </c>
      <c r="C7" s="113" t="s">
        <v>189</v>
      </c>
      <c r="D7" s="113" t="s">
        <v>190</v>
      </c>
      <c r="E7" s="113" t="s">
        <v>191</v>
      </c>
      <c r="F7" s="113" t="s">
        <v>56</v>
      </c>
      <c r="G7" s="113" t="s">
        <v>192</v>
      </c>
      <c r="H7" s="113" t="s">
        <v>156</v>
      </c>
      <c r="I7" s="113"/>
      <c r="J7" s="113"/>
    </row>
    <row r="8" spans="1:10" ht="18.75" customHeight="1" x14ac:dyDescent="0.2">
      <c r="B8" s="64" t="s">
        <v>161</v>
      </c>
      <c r="C8" s="118" t="s">
        <v>189</v>
      </c>
      <c r="D8" s="118" t="s">
        <v>193</v>
      </c>
      <c r="E8" s="118" t="s">
        <v>194</v>
      </c>
      <c r="F8" s="118" t="s">
        <v>56</v>
      </c>
      <c r="G8" s="118" t="s">
        <v>192</v>
      </c>
      <c r="H8" s="118" t="s">
        <v>156</v>
      </c>
      <c r="I8" s="118"/>
      <c r="J8" s="118"/>
    </row>
    <row r="9" spans="1:10" s="44" customFormat="1" ht="18.75" customHeight="1" x14ac:dyDescent="0.2">
      <c r="B9" s="48" t="s">
        <v>161</v>
      </c>
      <c r="C9" s="109"/>
      <c r="D9" s="48"/>
      <c r="E9" s="110"/>
      <c r="F9" s="47"/>
      <c r="G9" s="47"/>
      <c r="H9" s="47"/>
      <c r="I9" s="47"/>
      <c r="J9" s="47"/>
    </row>
    <row r="10" spans="1:10" s="61" customFormat="1" ht="18.75" customHeight="1" x14ac:dyDescent="0.2">
      <c r="B10" s="117" t="s">
        <v>195</v>
      </c>
      <c r="C10" s="118" t="s">
        <v>189</v>
      </c>
      <c r="D10" s="118" t="s">
        <v>196</v>
      </c>
      <c r="E10" s="118" t="s">
        <v>197</v>
      </c>
      <c r="F10" s="118" t="s">
        <v>56</v>
      </c>
      <c r="G10" s="118" t="s">
        <v>192</v>
      </c>
      <c r="H10" s="118" t="s">
        <v>155</v>
      </c>
      <c r="I10" s="118"/>
      <c r="J10" s="118"/>
    </row>
    <row r="11" spans="1:10" s="44" customFormat="1" ht="18.75" customHeight="1" x14ac:dyDescent="0.2">
      <c r="B11" s="119" t="s">
        <v>195</v>
      </c>
      <c r="C11" s="120" t="s">
        <v>189</v>
      </c>
      <c r="D11" s="120" t="s">
        <v>199</v>
      </c>
      <c r="E11" s="120" t="s">
        <v>198</v>
      </c>
      <c r="F11" s="120" t="s">
        <v>56</v>
      </c>
      <c r="G11" s="120" t="s">
        <v>192</v>
      </c>
      <c r="H11" s="120" t="s">
        <v>155</v>
      </c>
      <c r="I11" s="120"/>
      <c r="J11" s="120"/>
    </row>
    <row r="12" spans="1:10" ht="18.75" customHeight="1" x14ac:dyDescent="0.2">
      <c r="B12" s="117" t="s">
        <v>195</v>
      </c>
      <c r="C12" s="118" t="s">
        <v>189</v>
      </c>
      <c r="D12" s="118" t="s">
        <v>240</v>
      </c>
      <c r="E12" s="118" t="s">
        <v>238</v>
      </c>
      <c r="F12" s="118" t="s">
        <v>56</v>
      </c>
      <c r="G12" s="118" t="s">
        <v>192</v>
      </c>
      <c r="H12" s="118" t="s">
        <v>155</v>
      </c>
      <c r="I12" s="118"/>
      <c r="J12" s="118"/>
    </row>
    <row r="13" spans="1:10" s="44" customFormat="1" ht="18.75" customHeight="1" x14ac:dyDescent="0.2">
      <c r="B13" s="119" t="s">
        <v>195</v>
      </c>
      <c r="C13" s="120" t="s">
        <v>189</v>
      </c>
      <c r="D13" s="120" t="s">
        <v>200</v>
      </c>
      <c r="E13" s="120" t="s">
        <v>239</v>
      </c>
      <c r="F13" s="120" t="s">
        <v>56</v>
      </c>
      <c r="G13" s="120" t="s">
        <v>192</v>
      </c>
      <c r="H13" s="120" t="s">
        <v>155</v>
      </c>
      <c r="I13" s="120"/>
      <c r="J13" s="120"/>
    </row>
    <row r="14" spans="1:10" ht="18.75" customHeight="1" x14ac:dyDescent="0.2">
      <c r="A14" s="61"/>
      <c r="B14" s="119"/>
      <c r="C14" s="120"/>
      <c r="D14" s="120"/>
      <c r="E14" s="120"/>
      <c r="F14" s="120"/>
      <c r="G14" s="120"/>
      <c r="H14" s="120"/>
      <c r="I14" s="120"/>
      <c r="J14" s="120"/>
    </row>
    <row r="15" spans="1:10" ht="18.95" customHeight="1" x14ac:dyDescent="0.2">
      <c r="I15" s="120"/>
      <c r="J15" s="120"/>
    </row>
    <row r="17" spans="2:6" x14ac:dyDescent="0.2">
      <c r="B17" s="164" t="s">
        <v>204</v>
      </c>
      <c r="C17" s="165"/>
      <c r="D17" s="165"/>
    </row>
    <row r="18" spans="2:6" x14ac:dyDescent="0.2">
      <c r="B18" s="6" t="s">
        <v>195</v>
      </c>
      <c r="C18" s="6" t="s">
        <v>205</v>
      </c>
      <c r="D18" s="6"/>
    </row>
    <row r="19" spans="2:6" x14ac:dyDescent="0.2">
      <c r="B19" s="8" t="s">
        <v>206</v>
      </c>
      <c r="C19" s="8" t="s">
        <v>207</v>
      </c>
      <c r="D19" s="8"/>
    </row>
    <row r="20" spans="2:6" x14ac:dyDescent="0.2">
      <c r="B20" s="6" t="s">
        <v>208</v>
      </c>
      <c r="C20" s="6" t="s">
        <v>209</v>
      </c>
      <c r="D20" s="6"/>
    </row>
    <row r="21" spans="2:6" x14ac:dyDescent="0.2">
      <c r="B21" s="8" t="s">
        <v>203</v>
      </c>
      <c r="C21" s="8" t="s">
        <v>210</v>
      </c>
      <c r="D21" s="8"/>
    </row>
    <row r="22" spans="2:6" x14ac:dyDescent="0.2">
      <c r="B22" s="6" t="s">
        <v>211</v>
      </c>
      <c r="C22" s="6" t="s">
        <v>212</v>
      </c>
      <c r="D22" s="6" t="s">
        <v>213</v>
      </c>
      <c r="F22" s="6"/>
    </row>
    <row r="23" spans="2:6" x14ac:dyDescent="0.2">
      <c r="B23" s="8" t="s">
        <v>201</v>
      </c>
      <c r="C23" s="8" t="s">
        <v>214</v>
      </c>
      <c r="D23" s="8" t="s">
        <v>215</v>
      </c>
    </row>
    <row r="24" spans="2:6" x14ac:dyDescent="0.2">
      <c r="B24" s="6" t="s">
        <v>202</v>
      </c>
      <c r="C24" s="6" t="s">
        <v>216</v>
      </c>
      <c r="D24" s="6" t="s">
        <v>217</v>
      </c>
    </row>
    <row r="25" spans="2:6" x14ac:dyDescent="0.2">
      <c r="B25" s="8" t="s">
        <v>218</v>
      </c>
      <c r="C25" s="8" t="s">
        <v>219</v>
      </c>
      <c r="D25" s="8" t="s">
        <v>215</v>
      </c>
    </row>
    <row r="26" spans="2:6" ht="13.5" customHeight="1" thickBot="1" x14ac:dyDescent="0.25">
      <c r="B26" s="2" t="s">
        <v>220</v>
      </c>
      <c r="C26" s="2" t="s">
        <v>221</v>
      </c>
      <c r="D26" s="2"/>
    </row>
  </sheetData>
  <mergeCells count="1">
    <mergeCell ref="B17:D17"/>
  </mergeCells>
  <pageMargins left="0.75" right="0.75" top="1" bottom="1" header="0.5" footer="0.5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3"/>
  <dimension ref="B2:AD36"/>
  <sheetViews>
    <sheetView zoomScale="76" zoomScaleNormal="85" workbookViewId="0">
      <selection activeCell="S9" sqref="S9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97" t="s">
        <v>223</v>
      </c>
      <c r="C2" s="58"/>
      <c r="E2" s="25"/>
      <c r="H2" s="28"/>
      <c r="I2" s="21"/>
      <c r="J2" s="21"/>
      <c r="K2" s="21"/>
      <c r="L2" s="21"/>
      <c r="M2" s="21"/>
      <c r="N2" s="21"/>
      <c r="O2" s="29"/>
      <c r="P2" s="29"/>
      <c r="Q2" s="31"/>
      <c r="R2" s="26"/>
      <c r="S2" s="27"/>
    </row>
    <row r="3" spans="2:30" x14ac:dyDescent="0.2">
      <c r="B3" s="30"/>
      <c r="C3" s="24"/>
      <c r="E3" s="25"/>
      <c r="H3" s="28"/>
      <c r="I3" s="28"/>
      <c r="J3" s="28"/>
      <c r="K3" s="28"/>
      <c r="L3" s="28"/>
      <c r="M3" s="28"/>
      <c r="N3" s="28"/>
      <c r="O3" s="29"/>
      <c r="P3" s="29"/>
      <c r="Q3" s="31"/>
      <c r="R3" s="26"/>
      <c r="S3" s="27"/>
    </row>
    <row r="4" spans="2:30" ht="15.75" customHeight="1" x14ac:dyDescent="0.2">
      <c r="E4" s="35" t="s">
        <v>1</v>
      </c>
      <c r="F4" s="33"/>
      <c r="G4" s="33"/>
      <c r="H4" s="33"/>
      <c r="I4" s="33"/>
      <c r="J4" s="33"/>
      <c r="K4" s="33"/>
      <c r="L4" s="33"/>
      <c r="M4" s="33"/>
      <c r="N4" s="33"/>
      <c r="O4" s="36"/>
      <c r="P4" s="36"/>
      <c r="Q4" s="34"/>
      <c r="R4" s="34"/>
      <c r="S4" s="34"/>
    </row>
    <row r="5" spans="2:30" s="23" customFormat="1" ht="49.9" customHeight="1" x14ac:dyDescent="0.2">
      <c r="B5" s="17" t="s">
        <v>2</v>
      </c>
      <c r="C5" s="17" t="s">
        <v>222</v>
      </c>
      <c r="D5" s="17" t="s">
        <v>4</v>
      </c>
      <c r="E5" s="17" t="s">
        <v>5</v>
      </c>
      <c r="F5" s="17" t="s">
        <v>6</v>
      </c>
      <c r="G5" s="17" t="s">
        <v>7</v>
      </c>
      <c r="H5" s="15" t="s">
        <v>8</v>
      </c>
      <c r="I5" s="15" t="s">
        <v>9</v>
      </c>
      <c r="J5" s="15" t="s">
        <v>10</v>
      </c>
      <c r="K5" s="15" t="s">
        <v>11</v>
      </c>
      <c r="L5" s="15" t="s">
        <v>12</v>
      </c>
      <c r="M5" s="15" t="s">
        <v>13</v>
      </c>
      <c r="N5" s="15" t="s">
        <v>14</v>
      </c>
      <c r="O5" s="17" t="s">
        <v>15</v>
      </c>
      <c r="P5" s="17" t="s">
        <v>224</v>
      </c>
      <c r="Q5" s="17" t="s">
        <v>225</v>
      </c>
      <c r="R5" s="17" t="s">
        <v>17</v>
      </c>
      <c r="S5" s="17" t="s">
        <v>18</v>
      </c>
    </row>
    <row r="6" spans="2:30" ht="53.25" customHeight="1" x14ac:dyDescent="0.2">
      <c r="B6" s="18" t="s">
        <v>19</v>
      </c>
      <c r="C6" s="18" t="s">
        <v>20</v>
      </c>
      <c r="D6" s="18" t="s">
        <v>21</v>
      </c>
      <c r="E6" s="18" t="s">
        <v>22</v>
      </c>
      <c r="F6" s="18" t="s">
        <v>23</v>
      </c>
      <c r="G6" s="18" t="s">
        <v>24</v>
      </c>
      <c r="H6" s="166" t="s">
        <v>25</v>
      </c>
      <c r="I6" s="167"/>
      <c r="J6" s="167"/>
      <c r="K6" s="167"/>
      <c r="L6" s="167"/>
      <c r="M6" s="167"/>
      <c r="N6" s="167"/>
      <c r="O6" s="18" t="s">
        <v>26</v>
      </c>
      <c r="P6" s="18" t="s">
        <v>27</v>
      </c>
      <c r="Q6" s="18" t="s">
        <v>27</v>
      </c>
      <c r="R6" s="18" t="s">
        <v>28</v>
      </c>
      <c r="S6" s="18" t="s">
        <v>29</v>
      </c>
      <c r="Y6" s="53"/>
      <c r="Z6" s="22"/>
    </row>
    <row r="7" spans="2:30" ht="15.75" customHeight="1" x14ac:dyDescent="0.2">
      <c r="B7" s="45" t="str">
        <f>SEC_Processes!D12</f>
        <v>ELE_EX_IGCC_NLG</v>
      </c>
      <c r="C7" s="45" t="str">
        <f>SEC_Processes!E12</f>
        <v>Existing GNL Power Plant</v>
      </c>
      <c r="D7" s="90" t="str">
        <f>SEC_Comm!C28</f>
        <v>NLG</v>
      </c>
      <c r="E7" s="90" t="str">
        <f>SEC_Comm!C7</f>
        <v>ELEC_HV</v>
      </c>
      <c r="F7" s="84">
        <v>0.55000000000000004</v>
      </c>
      <c r="G7" s="85">
        <v>31.536000000000001</v>
      </c>
      <c r="H7" s="84">
        <f>BALANCE!D9/1000</f>
        <v>0.6</v>
      </c>
      <c r="I7" s="84">
        <f>H7</f>
        <v>0.6</v>
      </c>
      <c r="J7" s="84">
        <v>0.6</v>
      </c>
      <c r="K7" s="84">
        <v>0.6</v>
      </c>
      <c r="L7" s="84">
        <v>0.6</v>
      </c>
      <c r="M7" s="84">
        <v>0.6</v>
      </c>
      <c r="N7" s="84">
        <v>0.6</v>
      </c>
      <c r="O7" s="86">
        <v>1</v>
      </c>
      <c r="P7" s="86">
        <v>0.85</v>
      </c>
      <c r="Q7" s="85">
        <v>0.85</v>
      </c>
      <c r="R7" s="86">
        <v>60</v>
      </c>
      <c r="S7" s="85">
        <v>4.5</v>
      </c>
    </row>
    <row r="8" spans="2:30" ht="15.75" customHeight="1" thickBot="1" x14ac:dyDescent="0.25">
      <c r="B8" s="62" t="str">
        <f>SEC_Processes!D13</f>
        <v>ELE_EX_OILGAS</v>
      </c>
      <c r="C8" s="45" t="str">
        <f>SEC_Processes!E13</f>
        <v>Existing Syngas Power Plant</v>
      </c>
      <c r="D8" s="92" t="str">
        <f>SEC_Comm!C19</f>
        <v>OILGAS</v>
      </c>
      <c r="E8" s="90" t="str">
        <f>SEC_Comm!C7</f>
        <v>ELEC_HV</v>
      </c>
      <c r="F8" s="87">
        <v>0.5</v>
      </c>
      <c r="G8" s="88">
        <v>31.536000000000001</v>
      </c>
      <c r="H8" s="87">
        <f>BALANCE!D10/1000</f>
        <v>0.55000000000000004</v>
      </c>
      <c r="I8" s="87">
        <f>H8</f>
        <v>0.55000000000000004</v>
      </c>
      <c r="J8" s="87">
        <v>0.55000000000000004</v>
      </c>
      <c r="K8" s="87">
        <v>0.55000000000000004</v>
      </c>
      <c r="L8" s="87">
        <v>0.55000000000000004</v>
      </c>
      <c r="M8" s="87">
        <v>0.55000000000000004</v>
      </c>
      <c r="N8" s="87">
        <v>0.55000000000000004</v>
      </c>
      <c r="O8" s="89">
        <v>1</v>
      </c>
      <c r="P8" s="89">
        <v>0.8</v>
      </c>
      <c r="Q8" s="88">
        <v>0.8</v>
      </c>
      <c r="R8" s="125">
        <v>60</v>
      </c>
      <c r="S8" s="125">
        <v>3</v>
      </c>
    </row>
    <row r="12" spans="2:30" ht="15.75" customHeight="1" x14ac:dyDescent="0.25">
      <c r="B12" s="97" t="s">
        <v>226</v>
      </c>
      <c r="C12" s="58"/>
      <c r="U12" s="51"/>
      <c r="V12" s="52"/>
      <c r="Y12" s="52"/>
      <c r="Z12" s="52"/>
      <c r="AA12" s="52"/>
      <c r="AB12" s="52"/>
      <c r="AC12" s="52"/>
      <c r="AD12" s="52"/>
    </row>
    <row r="13" spans="2:30" x14ac:dyDescent="0.2">
      <c r="I13" s="49"/>
      <c r="J13" s="49"/>
      <c r="K13" s="49"/>
      <c r="L13" s="49"/>
      <c r="M13" s="49"/>
      <c r="N13" s="49"/>
      <c r="V13" s="53"/>
      <c r="Y13" s="53"/>
      <c r="Z13" s="53"/>
      <c r="AA13" s="53"/>
      <c r="AB13" s="53"/>
      <c r="AC13" s="53"/>
      <c r="AD13" s="53"/>
    </row>
    <row r="14" spans="2:30" x14ac:dyDescent="0.2">
      <c r="T14" s="22"/>
      <c r="U14" s="22"/>
      <c r="V14" s="82"/>
      <c r="Y14" s="54"/>
      <c r="Z14" s="54"/>
      <c r="AA14" s="55"/>
      <c r="AB14" s="22"/>
      <c r="AC14" s="22"/>
      <c r="AD14" s="56"/>
    </row>
    <row r="15" spans="2:30" ht="35.450000000000003" customHeight="1" x14ac:dyDescent="0.2">
      <c r="B15" s="17" t="s">
        <v>2</v>
      </c>
      <c r="C15" s="17" t="s">
        <v>222</v>
      </c>
      <c r="D15" s="17" t="s">
        <v>4</v>
      </c>
      <c r="E15" s="17" t="s">
        <v>5</v>
      </c>
      <c r="F15" s="17" t="s">
        <v>6</v>
      </c>
      <c r="G15" s="17" t="s">
        <v>7</v>
      </c>
      <c r="H15" s="16" t="s">
        <v>227</v>
      </c>
      <c r="I15" s="16" t="s">
        <v>42</v>
      </c>
      <c r="J15" s="15" t="s">
        <v>228</v>
      </c>
      <c r="K15" s="17" t="s">
        <v>15</v>
      </c>
      <c r="L15" s="15" t="s">
        <v>16</v>
      </c>
      <c r="M15" s="15" t="s">
        <v>16</v>
      </c>
      <c r="N15" s="17" t="s">
        <v>17</v>
      </c>
      <c r="O15" s="17" t="s">
        <v>18</v>
      </c>
      <c r="V15" s="54"/>
      <c r="Y15" s="54"/>
      <c r="Z15" s="54"/>
      <c r="AA15" s="55"/>
      <c r="AB15" s="22"/>
      <c r="AC15" s="22"/>
      <c r="AD15" s="56"/>
    </row>
    <row r="16" spans="2:30" ht="61.9" customHeight="1" thickBot="1" x14ac:dyDescent="0.25">
      <c r="B16" s="14" t="s">
        <v>19</v>
      </c>
      <c r="C16" s="14" t="s">
        <v>20</v>
      </c>
      <c r="D16" s="14" t="s">
        <v>21</v>
      </c>
      <c r="E16" s="14" t="s">
        <v>22</v>
      </c>
      <c r="F16" s="14" t="s">
        <v>23</v>
      </c>
      <c r="G16" s="14" t="s">
        <v>24</v>
      </c>
      <c r="H16" s="13" t="s">
        <v>227</v>
      </c>
      <c r="I16" s="13" t="s">
        <v>229</v>
      </c>
      <c r="J16" s="12" t="s">
        <v>25</v>
      </c>
      <c r="K16" s="14" t="s">
        <v>26</v>
      </c>
      <c r="L16" s="14" t="s">
        <v>27</v>
      </c>
      <c r="M16" s="14" t="s">
        <v>27</v>
      </c>
      <c r="N16" s="14" t="s">
        <v>230</v>
      </c>
      <c r="O16" s="14" t="s">
        <v>231</v>
      </c>
      <c r="Y16" s="54"/>
      <c r="Z16" s="54"/>
      <c r="AD16" s="57"/>
    </row>
    <row r="17" spans="2:15" ht="18.75" customHeight="1" x14ac:dyDescent="0.2">
      <c r="B17" s="11" t="str">
        <f>SEC_Processes!D12</f>
        <v>ELE_EX_IGCC_NLG</v>
      </c>
      <c r="C17" s="11" t="str">
        <f>SEC_Processes!E12</f>
        <v>Existing GNL Power Plant</v>
      </c>
      <c r="D17" s="11" t="str">
        <f>SEC_Comm!C28</f>
        <v>NLG</v>
      </c>
      <c r="E17" s="11" t="str">
        <f>SEC_Comm!D7</f>
        <v>High Voltage Electricity (&gt;110 kV)</v>
      </c>
      <c r="F17" s="10">
        <v>0.55000000000000004</v>
      </c>
      <c r="G17" s="11">
        <v>31.536000000000001</v>
      </c>
      <c r="H17" s="11"/>
      <c r="I17" s="11"/>
      <c r="J17" s="11"/>
      <c r="K17" s="9">
        <v>1</v>
      </c>
      <c r="L17" s="11"/>
      <c r="M17" s="11">
        <v>0.85</v>
      </c>
      <c r="N17" s="9">
        <v>60</v>
      </c>
      <c r="O17" s="11">
        <v>5</v>
      </c>
    </row>
    <row r="18" spans="2:15" ht="18.75" customHeight="1" x14ac:dyDescent="0.2">
      <c r="B18" s="8"/>
      <c r="C18" s="8"/>
      <c r="D18" s="8"/>
      <c r="E18" s="8"/>
      <c r="F18" s="8"/>
      <c r="G18" s="8"/>
      <c r="H18" s="8">
        <v>2023</v>
      </c>
      <c r="I18" s="8" t="s">
        <v>232</v>
      </c>
      <c r="J18" s="7">
        <v>0.6</v>
      </c>
      <c r="K18" s="8"/>
      <c r="L18" s="3">
        <v>0.85</v>
      </c>
      <c r="M18" s="8"/>
      <c r="N18" s="8"/>
      <c r="O18" s="8"/>
    </row>
    <row r="19" spans="2:15" ht="18.75" customHeight="1" x14ac:dyDescent="0.2">
      <c r="B19" s="6"/>
      <c r="C19" s="6"/>
      <c r="D19" s="6"/>
      <c r="E19" s="6"/>
      <c r="F19" s="6"/>
      <c r="G19" s="6"/>
      <c r="H19" s="6">
        <v>2024</v>
      </c>
      <c r="I19" s="5" t="s">
        <v>232</v>
      </c>
      <c r="J19" s="4">
        <v>0.6</v>
      </c>
      <c r="K19" s="6"/>
      <c r="L19" s="6">
        <v>0.85</v>
      </c>
      <c r="M19" s="6"/>
      <c r="N19" s="6"/>
      <c r="O19" s="6"/>
    </row>
    <row r="20" spans="2:15" ht="18.75" customHeight="1" x14ac:dyDescent="0.2">
      <c r="B20" s="8"/>
      <c r="C20" s="8"/>
      <c r="D20" s="8"/>
      <c r="E20" s="8"/>
      <c r="F20" s="8"/>
      <c r="G20" s="8"/>
      <c r="H20" s="8">
        <v>2025</v>
      </c>
      <c r="I20" s="8" t="s">
        <v>232</v>
      </c>
      <c r="J20" s="7">
        <v>0.6</v>
      </c>
      <c r="K20" s="8"/>
      <c r="L20" s="8">
        <v>0.85</v>
      </c>
      <c r="M20" s="8"/>
      <c r="N20" s="8"/>
      <c r="O20" s="8"/>
    </row>
    <row r="21" spans="2:15" ht="18.75" customHeight="1" x14ac:dyDescent="0.2">
      <c r="B21" s="6"/>
      <c r="C21" s="6"/>
      <c r="D21" s="6"/>
      <c r="E21" s="6"/>
      <c r="F21" s="6"/>
      <c r="G21" s="6"/>
      <c r="H21" s="6">
        <v>2030</v>
      </c>
      <c r="I21" s="6" t="s">
        <v>232</v>
      </c>
      <c r="J21" s="4">
        <v>0.6</v>
      </c>
      <c r="K21" s="6"/>
      <c r="L21" s="6">
        <v>0.85</v>
      </c>
      <c r="M21" s="6"/>
      <c r="N21" s="6"/>
      <c r="O21" s="6"/>
    </row>
    <row r="22" spans="2:15" ht="18.75" customHeight="1" x14ac:dyDescent="0.2">
      <c r="B22" s="8"/>
      <c r="C22" s="8"/>
      <c r="D22" s="8"/>
      <c r="E22" s="8"/>
      <c r="F22" s="8"/>
      <c r="G22" s="8"/>
      <c r="H22" s="8">
        <v>2035</v>
      </c>
      <c r="I22" s="8" t="s">
        <v>232</v>
      </c>
      <c r="J22" s="7">
        <v>0.6</v>
      </c>
      <c r="K22" s="8"/>
      <c r="L22" s="8">
        <v>0.85</v>
      </c>
      <c r="M22" s="8"/>
      <c r="N22" s="8"/>
      <c r="O22" s="8"/>
    </row>
    <row r="23" spans="2:15" ht="18.75" customHeight="1" x14ac:dyDescent="0.2">
      <c r="B23" s="6"/>
      <c r="C23" s="6"/>
      <c r="D23" s="6"/>
      <c r="E23" s="6"/>
      <c r="F23" s="6"/>
      <c r="G23" s="6"/>
      <c r="H23" s="6">
        <v>2040</v>
      </c>
      <c r="I23" s="5" t="s">
        <v>232</v>
      </c>
      <c r="J23" s="4">
        <v>0.6</v>
      </c>
      <c r="K23" s="6"/>
      <c r="L23" s="6">
        <v>0.85</v>
      </c>
      <c r="M23" s="6"/>
      <c r="N23" s="6"/>
      <c r="O23" s="6"/>
    </row>
    <row r="24" spans="2:15" ht="18.75" customHeight="1" x14ac:dyDescent="0.2">
      <c r="B24" s="8"/>
      <c r="C24" s="8"/>
      <c r="D24" s="8"/>
      <c r="E24" s="8"/>
      <c r="F24" s="8"/>
      <c r="G24" s="8"/>
      <c r="H24" s="8">
        <v>2045</v>
      </c>
      <c r="I24" s="8" t="s">
        <v>232</v>
      </c>
      <c r="J24" s="7">
        <v>0.6</v>
      </c>
      <c r="K24" s="8"/>
      <c r="L24" s="8">
        <v>0.85</v>
      </c>
      <c r="M24" s="8"/>
      <c r="N24" s="8"/>
      <c r="O24" s="8"/>
    </row>
    <row r="25" spans="2:15" ht="18.75" customHeight="1" x14ac:dyDescent="0.2">
      <c r="B25" s="6"/>
      <c r="C25" s="6"/>
      <c r="D25" s="6"/>
      <c r="E25" s="6"/>
      <c r="F25" s="6"/>
      <c r="G25" s="6"/>
      <c r="H25" s="6">
        <v>2050</v>
      </c>
      <c r="I25" s="6" t="s">
        <v>232</v>
      </c>
      <c r="J25" s="4">
        <v>0.6</v>
      </c>
      <c r="K25" s="6"/>
      <c r="L25" s="6">
        <v>0.85</v>
      </c>
      <c r="M25" s="6"/>
      <c r="N25" s="6"/>
      <c r="O25" s="6"/>
    </row>
    <row r="26" spans="2:15" ht="18.75" customHeight="1" x14ac:dyDescent="0.2">
      <c r="B26" s="123"/>
      <c r="C26" s="123"/>
      <c r="D26" s="123"/>
      <c r="E26" s="123" t="str">
        <f>SEC_Comm!C8</f>
        <v>CO2</v>
      </c>
      <c r="F26" s="123"/>
      <c r="G26" s="123"/>
      <c r="H26" s="123"/>
      <c r="I26" s="123"/>
      <c r="J26" s="124"/>
      <c r="K26" s="123"/>
      <c r="L26" s="123"/>
      <c r="M26" s="123"/>
      <c r="N26" s="123"/>
      <c r="O26" s="123"/>
    </row>
    <row r="27" spans="2:15" ht="18.95" customHeight="1" x14ac:dyDescent="0.2">
      <c r="B27" s="6" t="str">
        <f>SEC_Processes!D13</f>
        <v>ELE_EX_OILGAS</v>
      </c>
      <c r="C27" s="6" t="str">
        <f>SEC_Processes!E13</f>
        <v>Existing Syngas Power Plant</v>
      </c>
      <c r="D27" s="6" t="str">
        <f>SEC_Comm!C19</f>
        <v>OILGAS</v>
      </c>
      <c r="E27" s="6" t="str">
        <f>SEC_Comm!D7</f>
        <v>High Voltage Electricity (&gt;110 kV)</v>
      </c>
      <c r="F27" s="4">
        <v>0.5</v>
      </c>
      <c r="G27" s="6">
        <v>31.536000000000001</v>
      </c>
      <c r="H27" s="6"/>
      <c r="I27" s="6"/>
      <c r="J27" s="6"/>
      <c r="K27" s="126">
        <v>1</v>
      </c>
      <c r="L27" s="6"/>
      <c r="M27" s="6">
        <v>0.8</v>
      </c>
      <c r="N27" s="126">
        <v>60</v>
      </c>
      <c r="O27" s="6">
        <v>5</v>
      </c>
    </row>
    <row r="28" spans="2:15" ht="18.95" customHeight="1" x14ac:dyDescent="0.2">
      <c r="B28" s="8"/>
      <c r="C28" s="8"/>
      <c r="D28" s="8"/>
      <c r="E28" s="8"/>
      <c r="F28" s="8"/>
      <c r="G28" s="8"/>
      <c r="H28" s="8">
        <v>2023</v>
      </c>
      <c r="I28" s="8" t="s">
        <v>232</v>
      </c>
      <c r="J28" s="7">
        <v>0.55000000000000004</v>
      </c>
      <c r="K28" s="8"/>
      <c r="L28" s="3">
        <v>0.8</v>
      </c>
      <c r="M28" s="8"/>
      <c r="N28" s="8"/>
      <c r="O28" s="8"/>
    </row>
    <row r="29" spans="2:15" ht="18.95" customHeight="1" x14ac:dyDescent="0.2">
      <c r="D29" s="6"/>
      <c r="E29" s="6"/>
      <c r="F29" s="6"/>
      <c r="G29" s="6"/>
      <c r="H29" s="6">
        <v>2024</v>
      </c>
      <c r="I29" s="5" t="s">
        <v>232</v>
      </c>
      <c r="J29" s="4">
        <v>0.55000000000000004</v>
      </c>
      <c r="K29" s="6"/>
      <c r="L29" s="6">
        <v>0.8</v>
      </c>
      <c r="M29" s="6"/>
      <c r="N29" s="6"/>
      <c r="O29" s="6"/>
    </row>
    <row r="30" spans="2:15" ht="18.95" customHeight="1" x14ac:dyDescent="0.2">
      <c r="B30" s="8"/>
      <c r="C30" s="8"/>
      <c r="D30" s="8"/>
      <c r="E30" s="8"/>
      <c r="F30" s="8"/>
      <c r="G30" s="8"/>
      <c r="H30" s="8">
        <v>2025</v>
      </c>
      <c r="I30" s="8" t="s">
        <v>232</v>
      </c>
      <c r="J30" s="7">
        <v>0.55000000000000004</v>
      </c>
      <c r="K30" s="8"/>
      <c r="L30" s="3">
        <v>0.8</v>
      </c>
      <c r="M30" s="8"/>
      <c r="N30" s="8"/>
      <c r="O30" s="8"/>
    </row>
    <row r="31" spans="2:15" ht="18.95" customHeight="1" x14ac:dyDescent="0.2">
      <c r="D31" s="6"/>
      <c r="E31" s="6"/>
      <c r="F31" s="6"/>
      <c r="G31" s="6"/>
      <c r="H31" s="6">
        <v>2030</v>
      </c>
      <c r="I31" s="6"/>
      <c r="J31" s="4">
        <v>0.55000000000000004</v>
      </c>
      <c r="K31" s="6"/>
      <c r="L31" s="6">
        <v>0.8</v>
      </c>
      <c r="M31" s="6"/>
      <c r="N31" s="6"/>
      <c r="O31" s="6"/>
    </row>
    <row r="32" spans="2:15" ht="18.95" customHeight="1" x14ac:dyDescent="0.2">
      <c r="B32" s="8"/>
      <c r="C32" s="8"/>
      <c r="D32" s="8"/>
      <c r="E32" s="8"/>
      <c r="F32" s="8"/>
      <c r="G32" s="8"/>
      <c r="H32" s="8">
        <v>2035</v>
      </c>
      <c r="I32" s="8"/>
      <c r="J32" s="7">
        <v>0.55000000000000004</v>
      </c>
      <c r="K32" s="8"/>
      <c r="L32" s="3">
        <v>0.8</v>
      </c>
      <c r="M32" s="8"/>
      <c r="N32" s="8"/>
      <c r="O32" s="8"/>
    </row>
    <row r="33" spans="2:15" ht="18.95" customHeight="1" x14ac:dyDescent="0.2">
      <c r="D33" s="6"/>
      <c r="E33" s="6"/>
      <c r="F33" s="6"/>
      <c r="G33" s="6"/>
      <c r="H33" s="6">
        <v>2040</v>
      </c>
      <c r="I33" s="5"/>
      <c r="J33" s="4">
        <v>0.55000000000000004</v>
      </c>
      <c r="K33" s="6"/>
      <c r="L33" s="6">
        <v>0.8</v>
      </c>
      <c r="M33" s="6"/>
      <c r="N33" s="6"/>
      <c r="O33" s="6"/>
    </row>
    <row r="34" spans="2:15" ht="18.95" customHeight="1" x14ac:dyDescent="0.2">
      <c r="B34" s="8"/>
      <c r="C34" s="8"/>
      <c r="D34" s="8"/>
      <c r="E34" s="8"/>
      <c r="F34" s="8"/>
      <c r="G34" s="8"/>
      <c r="H34" s="8">
        <v>2045</v>
      </c>
      <c r="I34" s="8"/>
      <c r="J34" s="7">
        <v>0.55000000000000004</v>
      </c>
      <c r="K34" s="8"/>
      <c r="L34" s="3">
        <v>0.8</v>
      </c>
      <c r="M34" s="8"/>
      <c r="N34" s="8"/>
      <c r="O34" s="8"/>
    </row>
    <row r="35" spans="2:15" ht="18.95" customHeight="1" x14ac:dyDescent="0.2">
      <c r="B35" s="6"/>
      <c r="C35" s="6"/>
      <c r="D35" s="6"/>
      <c r="E35" s="6"/>
      <c r="F35" s="6"/>
      <c r="G35" s="6"/>
      <c r="H35" s="6">
        <v>2050</v>
      </c>
      <c r="I35" s="6"/>
      <c r="J35" s="4">
        <v>0.55000000000000004</v>
      </c>
      <c r="K35" s="6"/>
      <c r="L35" s="6">
        <v>0.8</v>
      </c>
      <c r="M35" s="6"/>
      <c r="N35" s="6"/>
      <c r="O35" s="6"/>
    </row>
    <row r="36" spans="2:15" ht="18.95" customHeight="1" thickBot="1" x14ac:dyDescent="0.25">
      <c r="B36" s="132"/>
      <c r="C36" s="132"/>
      <c r="D36" s="132"/>
      <c r="E36" s="132" t="str">
        <f>SEC_Comm!C8</f>
        <v>CO2</v>
      </c>
      <c r="F36" s="132"/>
      <c r="G36" s="132"/>
      <c r="H36" s="132"/>
      <c r="I36" s="132"/>
      <c r="J36" s="133"/>
      <c r="K36" s="132"/>
      <c r="L36" s="132"/>
      <c r="M36" s="132"/>
      <c r="N36" s="132"/>
      <c r="O36" s="132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4"/>
  <dimension ref="B2:Q39"/>
  <sheetViews>
    <sheetView zoomScale="130" zoomScaleNormal="130" workbookViewId="0">
      <selection activeCell="O9" sqref="O9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2" width="7.5703125" customWidth="1"/>
    <col min="13" max="13" width="14.140625" customWidth="1"/>
    <col min="14" max="14" width="14" customWidth="1"/>
    <col min="15" max="15" width="15.42578125" customWidth="1"/>
    <col min="16" max="16" width="20" customWidth="1"/>
    <col min="17" max="17" width="11.42578125" customWidth="1"/>
  </cols>
  <sheetData>
    <row r="2" spans="2:17" ht="18" customHeight="1" x14ac:dyDescent="0.25">
      <c r="B2" s="97" t="s">
        <v>0</v>
      </c>
      <c r="C2" s="40"/>
      <c r="E2" s="25"/>
      <c r="H2" s="28"/>
      <c r="I2" s="28"/>
      <c r="J2" s="28"/>
      <c r="K2" s="28"/>
      <c r="L2" s="28"/>
      <c r="M2" s="28"/>
      <c r="N2" s="29"/>
      <c r="O2" s="31"/>
      <c r="P2" s="26"/>
      <c r="Q2" s="27"/>
    </row>
    <row r="3" spans="2:17" x14ac:dyDescent="0.2">
      <c r="B3" s="69"/>
      <c r="C3" s="24"/>
      <c r="E3" s="25"/>
      <c r="H3" s="28"/>
      <c r="I3" s="28"/>
      <c r="J3" s="28"/>
      <c r="K3" s="28"/>
      <c r="L3" s="28"/>
      <c r="M3" s="28"/>
      <c r="N3" s="29"/>
      <c r="O3" s="31"/>
      <c r="P3" s="26"/>
      <c r="Q3" s="27"/>
    </row>
    <row r="4" spans="2:17" ht="15.75" customHeight="1" x14ac:dyDescent="0.2">
      <c r="E4" s="35" t="s">
        <v>1</v>
      </c>
      <c r="F4" s="33"/>
      <c r="G4" s="33"/>
      <c r="H4" s="33"/>
      <c r="I4" s="33"/>
      <c r="J4" s="33"/>
      <c r="K4" s="33"/>
      <c r="L4" s="33"/>
      <c r="M4" s="33"/>
      <c r="N4" s="36"/>
      <c r="O4" s="34"/>
      <c r="P4" s="34"/>
    </row>
    <row r="5" spans="2:17" s="23" customFormat="1" ht="25.5" customHeight="1" x14ac:dyDescent="0.2">
      <c r="B5" s="101" t="s">
        <v>2</v>
      </c>
      <c r="C5" s="101" t="s">
        <v>3</v>
      </c>
      <c r="D5" s="101" t="s">
        <v>4</v>
      </c>
      <c r="E5" s="101" t="s">
        <v>5</v>
      </c>
      <c r="F5" s="101" t="s">
        <v>6</v>
      </c>
      <c r="G5" s="101" t="s">
        <v>7</v>
      </c>
      <c r="H5" s="102" t="s">
        <v>10</v>
      </c>
      <c r="I5" s="102" t="s">
        <v>11</v>
      </c>
      <c r="J5" s="102" t="s">
        <v>12</v>
      </c>
      <c r="K5" s="102" t="s">
        <v>13</v>
      </c>
      <c r="L5" s="102" t="s">
        <v>14</v>
      </c>
      <c r="M5" s="101" t="s">
        <v>15</v>
      </c>
      <c r="N5" s="101" t="s">
        <v>16</v>
      </c>
      <c r="O5" s="101" t="s">
        <v>17</v>
      </c>
      <c r="P5" s="101" t="s">
        <v>18</v>
      </c>
    </row>
    <row r="6" spans="2:17" ht="38.25" customHeight="1" x14ac:dyDescent="0.2">
      <c r="B6" s="18" t="s">
        <v>19</v>
      </c>
      <c r="C6" s="18" t="s">
        <v>20</v>
      </c>
      <c r="D6" s="18" t="s">
        <v>21</v>
      </c>
      <c r="E6" s="18" t="s">
        <v>22</v>
      </c>
      <c r="F6" s="18" t="s">
        <v>23</v>
      </c>
      <c r="G6" s="18" t="s">
        <v>24</v>
      </c>
      <c r="H6" s="167"/>
      <c r="I6" s="167"/>
      <c r="J6" s="167"/>
      <c r="K6" s="167"/>
      <c r="L6" s="167"/>
      <c r="M6" s="18" t="s">
        <v>26</v>
      </c>
      <c r="N6" s="18" t="s">
        <v>27</v>
      </c>
      <c r="O6" s="18" t="s">
        <v>28</v>
      </c>
      <c r="P6" s="18" t="s">
        <v>29</v>
      </c>
    </row>
    <row r="7" spans="2:17" ht="20.45" customHeight="1" x14ac:dyDescent="0.2">
      <c r="B7" s="44" t="str">
        <f>SEC_Processes!D10</f>
        <v>ELE_EX_WIND-ON</v>
      </c>
      <c r="C7" s="90" t="str">
        <f>SEC_Processes!E10</f>
        <v>Existing Onshore Wind Turbines</v>
      </c>
      <c r="D7" s="109" t="s">
        <v>35</v>
      </c>
      <c r="E7" s="45" t="str">
        <f>SEC_Comm!C7</f>
        <v>ELEC_HV</v>
      </c>
      <c r="F7" s="46">
        <v>1</v>
      </c>
      <c r="G7" s="45">
        <v>31.536000000000001</v>
      </c>
      <c r="H7" s="46">
        <v>1.4</v>
      </c>
      <c r="I7" s="46">
        <v>1.4</v>
      </c>
      <c r="J7" s="46">
        <v>1.4</v>
      </c>
      <c r="K7" s="46">
        <v>1.4</v>
      </c>
      <c r="L7" s="46">
        <v>1.4</v>
      </c>
      <c r="M7" s="91">
        <v>0.05</v>
      </c>
      <c r="N7" s="91">
        <v>1</v>
      </c>
      <c r="O7" s="91">
        <v>30</v>
      </c>
      <c r="P7" s="91">
        <v>1E-3</v>
      </c>
    </row>
    <row r="8" spans="2:17" ht="20.45" customHeight="1" x14ac:dyDescent="0.2">
      <c r="B8" s="61" t="str">
        <f>SEC_Processes!D11</f>
        <v>ELE_EX_PV</v>
      </c>
      <c r="C8" s="128" t="str">
        <f>SEC_Processes!E11</f>
        <v>Existing autoproducer PV Elecrticity</v>
      </c>
      <c r="D8" s="111" t="s">
        <v>36</v>
      </c>
      <c r="E8" s="45" t="str">
        <f>SEC_Comm!C7</f>
        <v>ELEC_HV</v>
      </c>
      <c r="F8" s="122">
        <v>1</v>
      </c>
      <c r="G8" s="60">
        <v>31.536000000000001</v>
      </c>
      <c r="H8" s="122">
        <v>4.3</v>
      </c>
      <c r="I8" s="122">
        <v>4.3</v>
      </c>
      <c r="J8" s="122">
        <v>4.3</v>
      </c>
      <c r="K8" s="122">
        <v>4.3</v>
      </c>
      <c r="L8" s="122">
        <v>4.3</v>
      </c>
      <c r="M8" s="150">
        <v>0.05</v>
      </c>
      <c r="N8" s="150">
        <v>1</v>
      </c>
      <c r="O8" s="150">
        <v>15</v>
      </c>
      <c r="P8" s="150">
        <v>0</v>
      </c>
    </row>
    <row r="10" spans="2:17" x14ac:dyDescent="0.2">
      <c r="H10" s="100"/>
    </row>
    <row r="11" spans="2:17" x14ac:dyDescent="0.2">
      <c r="B11" s="22"/>
    </row>
    <row r="15" spans="2:17" x14ac:dyDescent="0.2">
      <c r="B15" s="42" t="s">
        <v>37</v>
      </c>
      <c r="C15" s="41"/>
      <c r="D15" s="41"/>
      <c r="E15" s="41"/>
      <c r="F15" s="41"/>
      <c r="G15" s="41"/>
    </row>
    <row r="16" spans="2:17" x14ac:dyDescent="0.2">
      <c r="B16" s="101" t="s">
        <v>38</v>
      </c>
      <c r="C16" s="101" t="s">
        <v>39</v>
      </c>
      <c r="D16" s="101" t="s">
        <v>40</v>
      </c>
      <c r="E16" s="101" t="s">
        <v>41</v>
      </c>
      <c r="F16" s="101" t="s">
        <v>42</v>
      </c>
      <c r="G16" s="101" t="s">
        <v>43</v>
      </c>
    </row>
    <row r="17" spans="2:7" ht="63.75" customHeight="1" x14ac:dyDescent="0.2">
      <c r="B17" s="18" t="s">
        <v>46</v>
      </c>
      <c r="C17" s="18" t="s">
        <v>47</v>
      </c>
      <c r="D17" s="18" t="s">
        <v>48</v>
      </c>
      <c r="E17" s="18" t="s">
        <v>41</v>
      </c>
      <c r="F17" s="18" t="s">
        <v>49</v>
      </c>
      <c r="G17" s="18" t="s">
        <v>50</v>
      </c>
    </row>
    <row r="18" spans="2:7" x14ac:dyDescent="0.2">
      <c r="B18" s="64" t="s">
        <v>53</v>
      </c>
      <c r="C18" s="111" t="s">
        <v>54</v>
      </c>
      <c r="D18" s="64" t="s">
        <v>55</v>
      </c>
      <c r="E18" s="112" t="s">
        <v>56</v>
      </c>
      <c r="F18" s="63"/>
      <c r="G18" s="63"/>
    </row>
    <row r="19" spans="2:7" x14ac:dyDescent="0.2">
      <c r="B19" s="48" t="s">
        <v>53</v>
      </c>
      <c r="C19" s="109" t="s">
        <v>57</v>
      </c>
      <c r="D19" s="48" t="s">
        <v>58</v>
      </c>
      <c r="E19" s="110" t="s">
        <v>56</v>
      </c>
      <c r="F19" s="47"/>
      <c r="G19" s="47"/>
    </row>
    <row r="20" spans="2:7" x14ac:dyDescent="0.2">
      <c r="B20" s="64" t="s">
        <v>53</v>
      </c>
      <c r="C20" s="111" t="s">
        <v>59</v>
      </c>
      <c r="D20" s="64" t="s">
        <v>60</v>
      </c>
      <c r="E20" s="112" t="s">
        <v>56</v>
      </c>
      <c r="F20" s="63"/>
      <c r="G20" s="63"/>
    </row>
    <row r="21" spans="2:7" x14ac:dyDescent="0.2">
      <c r="B21" s="135" t="s">
        <v>53</v>
      </c>
      <c r="C21" s="41" t="s">
        <v>61</v>
      </c>
      <c r="D21" s="135" t="s">
        <v>62</v>
      </c>
      <c r="E21" s="136" t="s">
        <v>56</v>
      </c>
      <c r="F21" s="43"/>
      <c r="G21" s="43"/>
    </row>
    <row r="22" spans="2:7" x14ac:dyDescent="0.2">
      <c r="B22" s="64" t="s">
        <v>53</v>
      </c>
      <c r="C22" s="111" t="s">
        <v>63</v>
      </c>
      <c r="D22" s="64" t="s">
        <v>64</v>
      </c>
      <c r="E22" s="112" t="s">
        <v>56</v>
      </c>
      <c r="F22" s="63"/>
      <c r="G22" s="63"/>
    </row>
    <row r="23" spans="2:7" x14ac:dyDescent="0.2">
      <c r="B23" s="135" t="s">
        <v>53</v>
      </c>
      <c r="C23" s="41" t="s">
        <v>65</v>
      </c>
      <c r="D23" s="135" t="s">
        <v>66</v>
      </c>
      <c r="E23" s="136" t="s">
        <v>56</v>
      </c>
      <c r="F23" s="43"/>
      <c r="G23" s="43"/>
    </row>
    <row r="24" spans="2:7" x14ac:dyDescent="0.2">
      <c r="B24" s="64" t="s">
        <v>53</v>
      </c>
      <c r="C24" s="111" t="s">
        <v>67</v>
      </c>
      <c r="D24" s="111" t="s">
        <v>67</v>
      </c>
      <c r="E24" s="112" t="s">
        <v>56</v>
      </c>
      <c r="F24" s="63"/>
      <c r="G24" s="63"/>
    </row>
    <row r="25" spans="2:7" x14ac:dyDescent="0.2">
      <c r="B25" s="135" t="s">
        <v>53</v>
      </c>
      <c r="C25" s="41" t="s">
        <v>68</v>
      </c>
      <c r="D25" s="41" t="s">
        <v>69</v>
      </c>
      <c r="E25" s="136" t="s">
        <v>56</v>
      </c>
      <c r="F25" s="43"/>
      <c r="G25" s="43"/>
    </row>
    <row r="26" spans="2:7" x14ac:dyDescent="0.2">
      <c r="B26" s="64" t="s">
        <v>53</v>
      </c>
      <c r="C26" s="111" t="s">
        <v>70</v>
      </c>
      <c r="D26" s="111" t="s">
        <v>70</v>
      </c>
      <c r="E26" s="112" t="s">
        <v>56</v>
      </c>
      <c r="F26" s="63"/>
      <c r="G26" s="63"/>
    </row>
    <row r="27" spans="2:7" x14ac:dyDescent="0.2">
      <c r="B27" s="135" t="s">
        <v>53</v>
      </c>
      <c r="C27" s="41" t="s">
        <v>71</v>
      </c>
      <c r="D27" s="41" t="s">
        <v>71</v>
      </c>
      <c r="E27" s="136" t="s">
        <v>56</v>
      </c>
      <c r="F27" s="43"/>
      <c r="G27" s="43"/>
    </row>
    <row r="28" spans="2:7" x14ac:dyDescent="0.2">
      <c r="B28" s="64" t="s">
        <v>53</v>
      </c>
      <c r="C28" s="111" t="s">
        <v>72</v>
      </c>
      <c r="D28" s="111" t="s">
        <v>73</v>
      </c>
      <c r="E28" s="112" t="s">
        <v>56</v>
      </c>
      <c r="F28" s="63"/>
      <c r="G28" s="63"/>
    </row>
    <row r="29" spans="2:7" x14ac:dyDescent="0.2">
      <c r="B29" s="135" t="s">
        <v>53</v>
      </c>
      <c r="C29" s="41" t="s">
        <v>74</v>
      </c>
      <c r="D29" s="135" t="s">
        <v>75</v>
      </c>
      <c r="E29" s="136" t="s">
        <v>56</v>
      </c>
      <c r="F29" s="43"/>
      <c r="G29" s="43"/>
    </row>
    <row r="30" spans="2:7" x14ac:dyDescent="0.2">
      <c r="B30" s="64" t="s">
        <v>53</v>
      </c>
      <c r="C30" s="111" t="s">
        <v>30</v>
      </c>
      <c r="D30" s="64" t="s">
        <v>76</v>
      </c>
      <c r="E30" s="112" t="s">
        <v>56</v>
      </c>
      <c r="F30" s="63"/>
      <c r="G30" s="63"/>
    </row>
    <row r="31" spans="2:7" x14ac:dyDescent="0.2">
      <c r="B31" s="135" t="s">
        <v>53</v>
      </c>
      <c r="C31" s="41" t="s">
        <v>31</v>
      </c>
      <c r="D31" s="135" t="s">
        <v>77</v>
      </c>
      <c r="E31" s="136" t="s">
        <v>56</v>
      </c>
      <c r="F31" s="43"/>
      <c r="G31" s="43"/>
    </row>
    <row r="32" spans="2:7" x14ac:dyDescent="0.2">
      <c r="B32" s="64" t="s">
        <v>53</v>
      </c>
      <c r="C32" s="111" t="s">
        <v>32</v>
      </c>
      <c r="D32" s="64" t="s">
        <v>78</v>
      </c>
      <c r="E32" s="112" t="s">
        <v>56</v>
      </c>
      <c r="F32" s="63"/>
      <c r="G32" s="63"/>
    </row>
    <row r="33" spans="2:7" x14ac:dyDescent="0.2">
      <c r="B33" s="48" t="s">
        <v>53</v>
      </c>
      <c r="C33" s="109" t="s">
        <v>33</v>
      </c>
      <c r="D33" s="48" t="s">
        <v>79</v>
      </c>
      <c r="E33" s="110" t="s">
        <v>56</v>
      </c>
      <c r="F33" s="47"/>
      <c r="G33" s="47"/>
    </row>
    <row r="34" spans="2:7" x14ac:dyDescent="0.2">
      <c r="B34" s="64" t="s">
        <v>53</v>
      </c>
      <c r="C34" s="111" t="s">
        <v>35</v>
      </c>
      <c r="D34" s="64" t="s">
        <v>80</v>
      </c>
      <c r="E34" s="83" t="s">
        <v>56</v>
      </c>
      <c r="F34" s="63"/>
      <c r="G34" s="63"/>
    </row>
    <row r="35" spans="2:7" x14ac:dyDescent="0.2">
      <c r="B35" s="48" t="s">
        <v>53</v>
      </c>
      <c r="C35" s="109" t="s">
        <v>81</v>
      </c>
      <c r="D35" s="48" t="s">
        <v>81</v>
      </c>
      <c r="E35" s="114" t="s">
        <v>56</v>
      </c>
      <c r="F35" s="47"/>
      <c r="G35" s="47"/>
    </row>
    <row r="36" spans="2:7" x14ac:dyDescent="0.2">
      <c r="B36" s="64" t="s">
        <v>53</v>
      </c>
      <c r="C36" s="111" t="s">
        <v>36</v>
      </c>
      <c r="D36" s="64" t="s">
        <v>82</v>
      </c>
      <c r="E36" s="83" t="s">
        <v>56</v>
      </c>
      <c r="F36" s="63"/>
      <c r="G36" s="63"/>
    </row>
    <row r="37" spans="2:7" x14ac:dyDescent="0.2">
      <c r="B37" s="48" t="s">
        <v>53</v>
      </c>
      <c r="C37" s="109" t="s">
        <v>83</v>
      </c>
      <c r="D37" s="48" t="s">
        <v>84</v>
      </c>
      <c r="E37" s="114" t="s">
        <v>56</v>
      </c>
      <c r="F37" s="47"/>
      <c r="G37" s="47"/>
    </row>
    <row r="38" spans="2:7" x14ac:dyDescent="0.2">
      <c r="B38" s="64" t="s">
        <v>53</v>
      </c>
      <c r="C38" s="111" t="s">
        <v>85</v>
      </c>
      <c r="D38" s="64" t="s">
        <v>86</v>
      </c>
      <c r="E38" s="83" t="s">
        <v>56</v>
      </c>
      <c r="F38" s="63"/>
      <c r="G38" s="63"/>
    </row>
    <row r="39" spans="2:7" ht="13.5" customHeight="1" thickBot="1" x14ac:dyDescent="0.25">
      <c r="B39" s="145" t="s">
        <v>53</v>
      </c>
      <c r="C39" s="146" t="s">
        <v>34</v>
      </c>
      <c r="D39" s="145" t="s">
        <v>34</v>
      </c>
      <c r="E39" s="147" t="s">
        <v>56</v>
      </c>
      <c r="F39" s="148"/>
      <c r="G39" s="148"/>
    </row>
  </sheetData>
  <mergeCells count="1">
    <mergeCell ref="H6:L6"/>
  </mergeCells>
  <pageMargins left="0.75" right="0.75" top="1" bottom="1" header="0.5" footer="0.5"/>
  <pageSetup orientation="portrait" horizontalDpi="429496729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8"/>
  <dimension ref="B2:G11"/>
  <sheetViews>
    <sheetView tabSelected="1" zoomScale="115" zoomScaleNormal="115" workbookViewId="0">
      <selection activeCell="E7" sqref="E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</cols>
  <sheetData>
    <row r="2" spans="2:7" ht="15" customHeight="1" x14ac:dyDescent="0.2">
      <c r="B2" s="58" t="s">
        <v>233</v>
      </c>
      <c r="C2" s="38"/>
      <c r="D2" s="38"/>
      <c r="E2" s="38"/>
      <c r="F2" s="38"/>
      <c r="G2" s="38"/>
    </row>
    <row r="3" spans="2:7" x14ac:dyDescent="0.2">
      <c r="B3" s="59"/>
      <c r="C3" s="59"/>
      <c r="D3" s="59"/>
      <c r="E3" s="59"/>
      <c r="F3" s="39"/>
      <c r="G3" s="39"/>
    </row>
    <row r="4" spans="2:7" ht="15.75" customHeight="1" x14ac:dyDescent="0.2">
      <c r="B4" s="37"/>
      <c r="C4" s="35" t="s">
        <v>234</v>
      </c>
      <c r="D4" s="39"/>
      <c r="E4" s="39"/>
    </row>
    <row r="5" spans="2:7" ht="15.75" customHeight="1" x14ac:dyDescent="0.2">
      <c r="B5" s="101" t="s">
        <v>2</v>
      </c>
      <c r="C5" s="101" t="s">
        <v>39</v>
      </c>
      <c r="D5" s="101" t="s">
        <v>59</v>
      </c>
      <c r="E5" s="101" t="s">
        <v>74</v>
      </c>
      <c r="G5" s="93" t="s">
        <v>235</v>
      </c>
    </row>
    <row r="6" spans="2:7" ht="38.25" customHeight="1" x14ac:dyDescent="0.2">
      <c r="B6" s="141" t="s">
        <v>19</v>
      </c>
      <c r="C6" s="141" t="s">
        <v>236</v>
      </c>
      <c r="D6" s="152" t="s">
        <v>237</v>
      </c>
      <c r="E6" s="153"/>
    </row>
    <row r="7" spans="2:7" ht="15.75" customHeight="1" x14ac:dyDescent="0.2">
      <c r="B7" s="139" t="str">
        <f>SEC_Processes!D12</f>
        <v>ELE_EX_IGCC_NLG</v>
      </c>
      <c r="C7" s="138" t="s">
        <v>159</v>
      </c>
      <c r="D7" s="134"/>
      <c r="E7" s="140">
        <v>56</v>
      </c>
    </row>
    <row r="8" spans="2:7" ht="15.75" customHeight="1" x14ac:dyDescent="0.2">
      <c r="B8" s="129" t="str">
        <f>SEC_Processes!D13</f>
        <v>ELE_EX_OILGAS</v>
      </c>
      <c r="C8" s="138" t="s">
        <v>159</v>
      </c>
      <c r="D8" s="130">
        <v>112</v>
      </c>
      <c r="E8" s="130"/>
    </row>
    <row r="9" spans="2:7" ht="15.75" customHeight="1" x14ac:dyDescent="0.2">
      <c r="B9" s="142" t="e">
        <f>SEC_Processes!#REF!</f>
        <v>#REF!</v>
      </c>
      <c r="C9" s="144" t="s">
        <v>159</v>
      </c>
      <c r="D9" s="143"/>
      <c r="E9" s="143"/>
    </row>
    <row r="10" spans="2:7" ht="15.75" customHeight="1" x14ac:dyDescent="0.2"/>
    <row r="11" spans="2:7" ht="15.75" customHeight="1" x14ac:dyDescent="0.2"/>
  </sheetData>
  <mergeCells count="1"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BALANCE</vt:lpstr>
      <vt:lpstr>TOPOLOGY</vt:lpstr>
      <vt:lpstr>SEC_Comm</vt:lpstr>
      <vt:lpstr>SEC_Processes</vt:lpstr>
      <vt:lpstr>PP</vt:lpstr>
      <vt:lpstr>RES</vt:lpstr>
      <vt:lpstr>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2000-12-13T15:53:11Z</dcterms:created>
  <dcterms:modified xsi:type="dcterms:W3CDTF">2026-06-22T15:17:03Z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