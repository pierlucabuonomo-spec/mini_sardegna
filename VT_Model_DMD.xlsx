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labee2\Desktop\mini_sardegna\MODELLO\"/>
    </mc:Choice>
  </mc:AlternateContent>
  <xr:revisionPtr revIDLastSave="0" documentId="13_ncr:1_{F9564E24-1FDC-4E15-A7F5-6910348F7AD0}" xr6:coauthVersionLast="47" xr6:coauthVersionMax="47" xr10:uidLastSave="{00000000-0000-0000-0000-000000000000}"/>
  <bookViews>
    <workbookView xWindow="-105" yWindow="0" windowWidth="26010" windowHeight="20985" tabRatio="901" xr2:uid="{00000000-000D-0000-FFFF-FFFF00000000}"/>
  </bookViews>
  <sheets>
    <sheet name="SEC_Comm" sheetId="112" r:id="rId1"/>
    <sheet name="SEC_Processes" sheetId="140" r:id="rId2"/>
    <sheet name="DEMAND" sheetId="128" r:id="rId3"/>
    <sheet name="EMI" sheetId="143" r:id="rId4"/>
  </sheets>
  <externalReferences>
    <externalReference r:id="rId5"/>
  </externalReferences>
  <definedNames>
    <definedName name="_Order1">0</definedName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43" l="1"/>
  <c r="B7" i="1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sharedStrings.xml><?xml version="1.0" encoding="utf-8"?>
<sst xmlns="http://schemas.openxmlformats.org/spreadsheetml/2006/main" count="117" uniqueCount="91">
  <si>
    <t>Unit</t>
  </si>
  <si>
    <t>Define Commodities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</si>
  <si>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</si>
  <si>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</si>
  <si>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</si>
  <si>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</si>
  <si>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</si>
  <si>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</si>
  <si>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</si>
  <si>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</si>
  <si>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</si>
  <si>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</si>
  <si>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</si>
  <si>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</si>
  <si>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</si>
  <si>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</si>
  <si>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</si>
  <si>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DEM</t>
  </si>
  <si>
    <t>PJ</t>
  </si>
  <si>
    <t>DAYNITE</t>
  </si>
  <si>
    <t>NRG</t>
  </si>
  <si>
    <t>ELEC_MV</t>
  </si>
  <si>
    <t>ELEC_LV</t>
  </si>
  <si>
    <t>Copy from ELC</t>
  </si>
  <si>
    <t>No tag - won't be read by Veda</t>
  </si>
  <si>
    <t>ELEC_HV</t>
  </si>
  <si>
    <t>Hight Voltage Electricity &gt; 110 kV)</t>
  </si>
  <si>
    <t>Medium Voltage Electricity (10 - 60 kV)</t>
  </si>
  <si>
    <t>Low Voltage Electricity (&lt; 1kV)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</si>
  <si>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</si>
  <si>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</si>
  <si>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</si>
  <si>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</si>
  <si>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</si>
  <si>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</si>
  <si>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</si>
  <si>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</si>
  <si>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</si>
  <si>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</si>
  <si>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</si>
  <si>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</si>
  <si>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</si>
  <si>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</si>
  <si>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</si>
  <si>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</si>
  <si>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</si>
  <si>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</si>
  <si>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</si>
  <si>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SAR</t>
  </si>
  <si>
    <t>PJa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</si>
  <si>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</si>
  <si>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</si>
  <si>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</si>
  <si>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</si>
  <si>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</si>
  <si>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</si>
  <si>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</si>
  <si>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</si>
  <si>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</si>
  <si>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</si>
  <si>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</si>
  <si>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Should have a Commodity of type DEM at its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</si>
  <si>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</si>
  <si>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</si>
  <si>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</si>
  <si>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</si>
  <si>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</si>
  <si>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</si>
  <si>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</si>
  <si>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</si>
  <si>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</si>
  <si>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</si>
  <si>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\I: Technology Name</t>
  </si>
  <si>
    <t>Demand</t>
  </si>
  <si>
    <t>~FI_T:DEMAND</t>
  </si>
  <si>
    <t>\I: Commodity Name</t>
  </si>
  <si>
    <t>Annual Demand Value [PJ/a]</t>
  </si>
  <si>
    <t>5-year change (demand forecast)</t>
  </si>
  <si>
    <t>???????</t>
  </si>
  <si>
    <t>OGL</t>
  </si>
  <si>
    <t>NLG</t>
  </si>
  <si>
    <t>~PRCCOMEMI</t>
  </si>
  <si>
    <t>Commodity Name (Pollutant)</t>
  </si>
  <si>
    <t>Emission factor [kt/PJ]</t>
  </si>
  <si>
    <t>CO2</t>
  </si>
  <si>
    <t>DEM_1</t>
  </si>
  <si>
    <t xml:space="preserve">Electricity - Final Energy </t>
  </si>
  <si>
    <t>ELE_DMD</t>
  </si>
  <si>
    <t>ELE_HV</t>
  </si>
  <si>
    <t>High Voltage Electricity (&gt;110 kV)</t>
  </si>
  <si>
    <t>Electricity - Final Energy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</si>
</sst>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4"/>
      <name val="Times New Roman"/>
      <family val="1"/>
      <charset val="238"/>
    </font>
    <font>
      <sz val="10"/>
      <color theme="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rgb="FFFF0000"/>
      <name val="Arial"/>
      <family val="2"/>
    </font>
    <font>
      <u/>
      <sz val="10"/>
      <color rgb="FF000000"/>
      <name val="Arial"/>
      <family val="2"/>
      <charset val="238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11" fillId="0" borderId="0"/>
    <xf numFmtId="0" fontId="14" fillId="0" borderId="0"/>
    <xf numFmtId="9" fontId="16" fillId="0" borderId="0" applyFont="0" applyFill="0" applyBorder="0" applyAlignment="0" applyProtection="0"/>
  </cellStyleXfs>
  <cellXfs count="60">
    <xf numFmtId="0" fontId="0" fillId="0" borderId="0" xfId="0"/>
    <xf numFmtId="164" fontId="3" fillId="3" borderId="1" xfId="1" applyNumberFormat="1" applyFill="1" applyBorder="1" applyAlignment="1">
      <alignment horizontal="center" vertical="center" wrapText="1"/>
    </xf>
    <xf numFmtId="0" fontId="11" fillId="0" borderId="0" xfId="0" applyFont="1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11" fillId="5" borderId="0" xfId="0" applyFont="1" applyFill="1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0" fontId="11" fillId="6" borderId="0" xfId="0" applyFont="1" applyFill="1"/>
    <xf numFmtId="0" fontId="11" fillId="7" borderId="0" xfId="0" applyFont="1" applyFill="1"/>
    <xf numFmtId="0" fontId="11" fillId="6" borderId="2" xfId="0" applyFont="1" applyFill="1" applyBorder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9" fontId="0" fillId="0" borderId="0" xfId="0" applyNumberFormat="1"/>
    <xf numFmtId="2" fontId="12" fillId="5" borderId="0" xfId="0" applyNumberFormat="1" applyFont="1" applyFill="1"/>
    <xf numFmtId="2" fontId="11" fillId="5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7" fillId="5" borderId="0" xfId="0" applyNumberFormat="1" applyFont="1" applyFill="1" applyAlignment="1">
      <alignment horizontal="left"/>
    </xf>
    <xf numFmtId="9" fontId="11" fillId="5" borderId="0" xfId="6" applyFont="1" applyFill="1"/>
    <xf numFmtId="164" fontId="3" fillId="5" borderId="0" xfId="1" applyNumberFormat="1" applyFill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164" fontId="3" fillId="5" borderId="0" xfId="1" applyNumberFormat="1" applyFill="1" applyAlignment="1">
      <alignment horizontal="left" vertical="center" wrapText="1"/>
    </xf>
    <xf numFmtId="164" fontId="17" fillId="6" borderId="0" xfId="0" applyNumberFormat="1" applyFont="1" applyFill="1"/>
    <xf numFmtId="164" fontId="3" fillId="5" borderId="0" xfId="1" applyNumberFormat="1" applyFill="1" applyAlignment="1">
      <alignment horizontal="left" wrapText="1"/>
    </xf>
    <xf numFmtId="164" fontId="1" fillId="5" borderId="0" xfId="0" applyNumberFormat="1" applyFont="1" applyFill="1" applyAlignment="1">
      <alignment horizontal="center" vertical="center"/>
    </xf>
    <xf numFmtId="10" fontId="18" fillId="0" borderId="0" xfId="0" applyNumberFormat="1" applyFont="1"/>
    <xf numFmtId="0" fontId="3" fillId="0" borderId="0" xfId="0" applyFont="1"/>
    <xf numFmtId="164" fontId="19" fillId="6" borderId="0" xfId="0" applyNumberFormat="1" applyFont="1" applyFill="1" applyAlignment="1">
      <alignment horizontal="left"/>
    </xf>
    <xf numFmtId="10" fontId="0" fillId="0" borderId="0" xfId="0" applyNumberFormat="1"/>
    <xf numFmtId="0" fontId="0" fillId="10" borderId="4" xfId="0" applyFill="1" applyBorder="1"/>
    <xf numFmtId="0" fontId="0" fillId="9" borderId="4" xfId="0" applyFill="1" applyBorder="1"/>
    <xf numFmtId="0" fontId="0" fillId="5" borderId="0" xfId="0" applyFill="1"/>
    <xf numFmtId="164" fontId="17" fillId="11" borderId="0" xfId="0" applyNumberFormat="1" applyFont="1" applyFill="1" applyAlignment="1">
      <alignment horizontal="left"/>
    </xf>
    <xf numFmtId="164" fontId="3" fillId="11" borderId="0" xfId="1" applyNumberFormat="1" applyFill="1" applyAlignment="1">
      <alignment horizontal="left" vertical="center" wrapText="1"/>
    </xf>
    <xf numFmtId="164" fontId="3" fillId="11" borderId="0" xfId="1" applyNumberFormat="1" applyFill="1" applyAlignment="1">
      <alignment horizontal="left" wrapText="1"/>
    </xf>
    <xf numFmtId="164" fontId="17" fillId="11" borderId="0" xfId="0" applyNumberFormat="1" applyFont="1" applyFill="1"/>
    <xf numFmtId="164" fontId="3" fillId="11" borderId="0" xfId="1" applyNumberFormat="1" applyFill="1" applyAlignment="1">
      <alignment horizontal="center" vertical="center" wrapText="1"/>
    </xf>
    <xf numFmtId="0" fontId="15" fillId="8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164" fontId="3" fillId="3" borderId="1" xfId="1" applyNumberFormat="1" applyFill="1" applyBorder="1" applyAlignment="1">
      <alignment horizontal="center" vertical="center" wrapText="1"/>
    </xf>
    <xf numFmtId="164" fontId="0" fillId="0" borderId="0" xfId="0" applyNumberFormat="1" applyFill="1"/>
    <xf numFmtId="164" fontId="3" fillId="0" borderId="0" xfId="1" applyNumberFormat="1" applyFill="1" applyAlignment="1">
      <alignment horizontal="left" wrapText="1"/>
    </xf>
    <xf numFmtId="164" fontId="11" fillId="0" borderId="0" xfId="0" applyNumberFormat="1" applyFont="1" applyFill="1"/>
    <xf numFmtId="164" fontId="3" fillId="0" borderId="0" xfId="1" applyNumberFormat="1" applyFill="1" applyAlignment="1">
      <alignment horizontal="center" wrapText="1"/>
    </xf>
    <xf numFmtId="164" fontId="0" fillId="0" borderId="0" xfId="0" applyNumberFormat="1" applyFill="1" applyAlignment="1">
      <alignment horizontal="center"/>
    </xf>
    <xf numFmtId="0" fontId="3" fillId="0" borderId="0" xfId="1" applyFill="1" applyAlignment="1">
      <alignment horizontal="center" vertical="center" wrapText="1"/>
    </xf>
    <xf numFmtId="164" fontId="0" fillId="5" borderId="3" xfId="0" applyNumberFormat="1" applyFill="1" applyBorder="1"/>
    <xf numFmtId="164" fontId="3" fillId="5" borderId="3" xfId="1" applyNumberFormat="1" applyFill="1" applyBorder="1" applyAlignment="1">
      <alignment horizontal="left" wrapText="1"/>
    </xf>
    <xf numFmtId="164" fontId="11" fillId="5" borderId="3" xfId="0" applyNumberFormat="1" applyFont="1" applyFill="1" applyBorder="1"/>
    <xf numFmtId="164" fontId="3" fillId="5" borderId="3" xfId="1" applyNumberFormat="1" applyFill="1" applyBorder="1" applyAlignment="1">
      <alignment horizontal="center" wrapText="1"/>
    </xf>
    <xf numFmtId="164" fontId="0" fillId="5" borderId="3" xfId="0" applyNumberFormat="1" applyFill="1" applyBorder="1" applyAlignment="1">
      <alignment horizontal="center"/>
    </xf>
    <xf numFmtId="0" fontId="3" fillId="5" borderId="3" xfId="1" applyFill="1" applyBorder="1" applyAlignment="1">
      <alignment horizontal="center" vertical="center" wrapText="1"/>
    </xf>
  </cellXfs>
  <cellStyles count="7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e" xfId="0" builtinId="0"/>
    <cellStyle name="Normalny_S301-339-05" xfId="5" xr:uid="{00000000-0005-0000-0000-00009D030000}"/>
    <cellStyle name="Per cent 2" xfId="3" xr:uid="{DDC5681C-F033-4AC5-9897-895307FDA964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9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48554" y="38100"/>
          <a:ext cx="5299249" cy="605246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3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14288</xdr:colOff>
      <xdr:row>24</xdr:row>
      <xdr:rowOff>57150</xdr:rowOff>
    </xdr:from>
    <xdr:to>
      <xdr:col>5</xdr:col>
      <xdr:colOff>632500</xdr:colOff>
      <xdr:row>29</xdr:row>
      <xdr:rowOff>42862</xdr:rowOff>
    </xdr:to>
    <xdr:sp macro="" textlink="">
      <xdr:nvSpPr>
        <xdr:cNvPr id="3" name="pole tekstowe 1">
          <a:extLst>
            <a:ext uri="{FF2B5EF4-FFF2-40B4-BE49-F238E27FC236}">
              <a16:creationId xmlns:a16="http://schemas.microsoft.com/office/drawing/2014/main" id="{30AC87AD-70FC-49B2-913B-A1A77740BA52}"/>
            </a:ext>
          </a:extLst>
        </xdr:cNvPr>
        <xdr:cNvSpPr txBox="1"/>
      </xdr:nvSpPr>
      <xdr:spPr>
        <a:xfrm>
          <a:off x="223838" y="3633788"/>
          <a:ext cx="4856837" cy="79533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400"/>
            <a:t>this</a:t>
          </a:r>
          <a:r>
            <a:rPr lang="it-IT" sz="1400" baseline="0"/>
            <a:t> incrase percent is result of summary of different sector and it tiene conto of the incrase efficient and change energy carrier for sector</a:t>
          </a:r>
          <a:endParaRPr lang="pl-PL" sz="1400"/>
        </a:p>
      </xdr:txBody>
    </xdr:sp>
    <xdr:clientData/>
  </xdr:twoCellAnchor>
  <xdr:twoCellAnchor>
    <xdr:from>
      <xdr:col>2</xdr:col>
      <xdr:colOff>881062</xdr:colOff>
      <xdr:row>16</xdr:row>
      <xdr:rowOff>57150</xdr:rowOff>
    </xdr:from>
    <xdr:to>
      <xdr:col>3</xdr:col>
      <xdr:colOff>0</xdr:colOff>
      <xdr:row>24</xdr:row>
      <xdr:rowOff>57150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EB96E39F-BF22-CC0F-BE5F-8D455B5F3E02}"/>
            </a:ext>
          </a:extLst>
        </xdr:cNvPr>
        <xdr:cNvCxnSpPr>
          <a:cxnSpLocks/>
          <a:stCxn id="3" idx="0"/>
        </xdr:cNvCxnSpPr>
      </xdr:nvCxnSpPr>
      <xdr:spPr bwMode="auto">
        <a:xfrm flipH="1" flipV="1">
          <a:off x="2505075" y="2328863"/>
          <a:ext cx="147182" cy="1304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2"/>
  <sheetViews>
    <sheetView tabSelected="1" zoomScale="71" zoomScaleNormal="100" workbookViewId="0">
      <selection activeCell="B10" sqref="B10"/>
    </sheetView>
  </sheetViews>
  <sheetFormatPr defaultRowHeight="12.75" x14ac:dyDescent="0.2"/>
  <cols>
    <col min="1" max="1" width="3" customWidth="1"/>
    <col min="2" max="2" width="15" customWidth="1"/>
    <col min="3" max="3" width="28.140625" customWidth="1"/>
    <col min="4" max="4" width="38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3" customWidth="1"/>
    <col min="10" max="10" width="10.42578125" customWidth="1"/>
    <col min="11" max="12" width="10.5703125" bestFit="1" customWidth="1"/>
  </cols>
  <sheetData>
    <row r="2" spans="2:9" ht="18" x14ac:dyDescent="0.25">
      <c r="B2" s="16" t="s">
        <v>1</v>
      </c>
      <c r="C2" s="17"/>
      <c r="D2" s="17"/>
      <c r="E2" s="7"/>
      <c r="F2" s="7"/>
      <c r="G2" s="7"/>
      <c r="H2" s="7"/>
      <c r="I2" s="7"/>
    </row>
    <row r="3" spans="2:9" ht="12.75" customHeight="1" x14ac:dyDescent="0.2">
      <c r="B3" s="8"/>
      <c r="C3" s="7"/>
      <c r="D3" s="7"/>
      <c r="E3" s="7"/>
      <c r="F3" s="7"/>
      <c r="G3" s="7"/>
      <c r="H3" s="7"/>
      <c r="I3" s="7"/>
    </row>
    <row r="4" spans="2:9" ht="17.45" customHeight="1" x14ac:dyDescent="0.2">
      <c r="B4" s="8" t="s">
        <v>2</v>
      </c>
      <c r="C4" s="7"/>
      <c r="D4" s="7"/>
      <c r="E4" s="7"/>
      <c r="F4" s="7"/>
      <c r="G4" s="7"/>
      <c r="H4" s="7"/>
      <c r="I4" s="7"/>
    </row>
    <row r="5" spans="2:9" ht="15.75" customHeight="1" x14ac:dyDescent="0.2">
      <c r="B5" s="11" t="s">
        <v>3</v>
      </c>
      <c r="C5" s="11" t="s">
        <v>4</v>
      </c>
      <c r="D5" s="11" t="s">
        <v>5</v>
      </c>
      <c r="E5" s="11" t="s">
        <v>0</v>
      </c>
      <c r="F5" s="11" t="s">
        <v>6</v>
      </c>
      <c r="G5" s="11" t="s">
        <v>7</v>
      </c>
      <c r="H5" s="11" t="s">
        <v>8</v>
      </c>
      <c r="I5" s="11" t="s">
        <v>9</v>
      </c>
    </row>
    <row r="6" spans="2:9" ht="47.25" customHeight="1" x14ac:dyDescent="0.2">
      <c r="B6" s="1" t="s">
        <v>10</v>
      </c>
      <c r="C6" s="1" t="s">
        <v>11</v>
      </c>
      <c r="D6" s="1" t="s">
        <v>12</v>
      </c>
      <c r="E6" s="1" t="s">
        <v>0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2:9" ht="18.75" customHeight="1" x14ac:dyDescent="0.2">
      <c r="B7" s="31" t="s">
        <v>17</v>
      </c>
      <c r="C7" s="29" t="s">
        <v>85</v>
      </c>
      <c r="D7" s="30" t="s">
        <v>86</v>
      </c>
      <c r="E7" s="30" t="s">
        <v>18</v>
      </c>
      <c r="F7" s="26"/>
      <c r="G7" s="30"/>
      <c r="H7" s="26"/>
      <c r="I7" s="26"/>
    </row>
    <row r="8" spans="2:9" ht="18.75" customHeight="1" x14ac:dyDescent="0.2">
      <c r="B8" s="35"/>
      <c r="C8" s="29"/>
      <c r="D8" s="30"/>
      <c r="E8" s="30"/>
      <c r="F8" s="30"/>
      <c r="G8" s="30"/>
      <c r="H8" s="30"/>
      <c r="I8" s="30"/>
    </row>
    <row r="9" spans="2:9" ht="18.75" customHeight="1" x14ac:dyDescent="0.2">
      <c r="B9" s="42" t="s">
        <v>20</v>
      </c>
      <c r="C9" s="41" t="s">
        <v>88</v>
      </c>
      <c r="D9" s="40" t="s">
        <v>89</v>
      </c>
      <c r="E9" s="43" t="s">
        <v>18</v>
      </c>
      <c r="F9" s="44"/>
      <c r="G9" s="43"/>
      <c r="H9" s="43"/>
      <c r="I9" s="43"/>
    </row>
    <row r="12" spans="2:9" ht="18" x14ac:dyDescent="0.25">
      <c r="B12" s="16" t="s">
        <v>23</v>
      </c>
      <c r="C12" s="17"/>
      <c r="D12" s="17"/>
    </row>
    <row r="14" spans="2:9" x14ac:dyDescent="0.2">
      <c r="B14" s="8" t="s">
        <v>24</v>
      </c>
    </row>
    <row r="15" spans="2:9" x14ac:dyDescent="0.2">
      <c r="B15" s="23" t="s">
        <v>3</v>
      </c>
      <c r="C15" s="23" t="s">
        <v>4</v>
      </c>
      <c r="D15" s="23" t="s">
        <v>5</v>
      </c>
      <c r="E15" s="23" t="s">
        <v>0</v>
      </c>
      <c r="F15" s="23" t="s">
        <v>6</v>
      </c>
      <c r="G15" s="23" t="s">
        <v>7</v>
      </c>
      <c r="H15" s="23" t="s">
        <v>8</v>
      </c>
      <c r="I15" s="23" t="s">
        <v>9</v>
      </c>
    </row>
    <row r="16" spans="2:9" x14ac:dyDescent="0.2">
      <c r="B16" s="24" t="s">
        <v>20</v>
      </c>
      <c r="C16" s="24" t="s">
        <v>25</v>
      </c>
      <c r="D16" s="24" t="s">
        <v>26</v>
      </c>
      <c r="E16" s="24" t="s">
        <v>18</v>
      </c>
      <c r="F16" s="32"/>
      <c r="G16" s="24" t="s">
        <v>19</v>
      </c>
      <c r="H16" s="32"/>
      <c r="I16" s="32"/>
    </row>
    <row r="17" spans="2:9" x14ac:dyDescent="0.2">
      <c r="B17" s="24" t="s">
        <v>20</v>
      </c>
      <c r="C17" s="24" t="s">
        <v>21</v>
      </c>
      <c r="D17" s="24" t="s">
        <v>27</v>
      </c>
      <c r="E17" s="24" t="s">
        <v>18</v>
      </c>
      <c r="F17" s="32"/>
      <c r="G17" s="24" t="s">
        <v>19</v>
      </c>
      <c r="H17" s="32"/>
      <c r="I17" s="32"/>
    </row>
    <row r="18" spans="2:9" x14ac:dyDescent="0.2">
      <c r="B18" s="24" t="s">
        <v>20</v>
      </c>
      <c r="C18" s="24" t="s">
        <v>22</v>
      </c>
      <c r="D18" s="24" t="s">
        <v>28</v>
      </c>
      <c r="E18" s="24" t="s">
        <v>18</v>
      </c>
      <c r="F18" s="24"/>
      <c r="G18" s="24" t="s">
        <v>19</v>
      </c>
      <c r="H18" s="24"/>
      <c r="I18" s="24"/>
    </row>
    <row r="22" spans="2:9" ht="13.7" customHeight="1" x14ac:dyDescent="0.2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1"/>
  <sheetViews>
    <sheetView workbookViewId="0">
      <selection activeCell="D59" sqref="D59"/>
    </sheetView>
  </sheetViews>
  <sheetFormatPr defaultRowHeight="12.75" x14ac:dyDescent="0.2"/>
  <cols>
    <col min="1" max="1" width="3" customWidth="1"/>
    <col min="2" max="2" width="21" customWidth="1"/>
    <col min="3" max="3" width="19" customWidth="1"/>
    <col min="4" max="4" width="28" customWidth="1"/>
    <col min="5" max="5" width="64.7109375" customWidth="1"/>
    <col min="6" max="8" width="11" customWidth="1"/>
    <col min="9" max="9" width="14" customWidth="1"/>
    <col min="10" max="10" width="11" customWidth="1"/>
  </cols>
  <sheetData>
    <row r="2" spans="2:10" ht="15.75" customHeight="1" x14ac:dyDescent="0.25">
      <c r="B2" s="16" t="s">
        <v>29</v>
      </c>
      <c r="C2" s="18"/>
      <c r="D2" s="18"/>
      <c r="E2" s="9"/>
      <c r="F2" s="9"/>
      <c r="G2" s="9"/>
      <c r="H2" s="9"/>
      <c r="I2" s="9"/>
      <c r="J2" s="9"/>
    </row>
    <row r="3" spans="2:10" x14ac:dyDescent="0.2">
      <c r="B3" s="8"/>
      <c r="C3" s="8"/>
      <c r="D3" s="9"/>
      <c r="E3" s="9"/>
      <c r="F3" s="9"/>
      <c r="G3" s="9"/>
      <c r="H3" s="9"/>
      <c r="I3" s="9"/>
      <c r="J3" s="9"/>
    </row>
    <row r="4" spans="2:10" ht="15.75" customHeight="1" x14ac:dyDescent="0.2">
      <c r="B4" s="8" t="s">
        <v>30</v>
      </c>
      <c r="C4" s="8"/>
      <c r="D4" s="9"/>
      <c r="E4" s="9"/>
      <c r="F4" s="9"/>
      <c r="G4" s="9"/>
      <c r="H4" s="9"/>
      <c r="I4" s="9"/>
      <c r="J4" s="9"/>
    </row>
    <row r="5" spans="2:10" ht="15.75" customHeight="1" x14ac:dyDescent="0.2"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  <c r="I5" s="11" t="s">
        <v>38</v>
      </c>
      <c r="J5" s="11" t="s">
        <v>39</v>
      </c>
    </row>
    <row r="6" spans="2:10" ht="38.25" x14ac:dyDescent="0.2">
      <c r="B6" s="27" t="s">
        <v>40</v>
      </c>
      <c r="C6" s="27" t="s">
        <v>41</v>
      </c>
      <c r="D6" s="27" t="s">
        <v>42</v>
      </c>
      <c r="E6" s="27" t="s">
        <v>43</v>
      </c>
      <c r="F6" s="27" t="s">
        <v>44</v>
      </c>
      <c r="G6" s="27" t="s">
        <v>45</v>
      </c>
      <c r="H6" s="27" t="s">
        <v>14</v>
      </c>
      <c r="I6" s="28" t="s">
        <v>46</v>
      </c>
      <c r="J6" s="28" t="s">
        <v>47</v>
      </c>
    </row>
    <row r="7" spans="2:10" ht="18.75" customHeight="1" x14ac:dyDescent="0.2">
      <c r="B7" s="54" t="s">
        <v>59</v>
      </c>
      <c r="C7" s="54" t="s">
        <v>48</v>
      </c>
      <c r="D7" s="55" t="s">
        <v>87</v>
      </c>
      <c r="E7" s="56" t="s">
        <v>90</v>
      </c>
      <c r="F7" s="57" t="s">
        <v>18</v>
      </c>
      <c r="G7" s="57" t="s">
        <v>49</v>
      </c>
      <c r="H7" s="58" t="s">
        <v>19</v>
      </c>
      <c r="I7" s="59"/>
      <c r="J7" s="59"/>
    </row>
    <row r="8" spans="2:10" ht="18.75" customHeight="1" x14ac:dyDescent="0.2">
      <c r="B8" s="48"/>
      <c r="C8" s="48"/>
      <c r="D8" s="49"/>
      <c r="E8" s="50"/>
      <c r="F8" s="51"/>
      <c r="G8" s="51"/>
      <c r="H8" s="52"/>
      <c r="I8" s="53"/>
      <c r="J8" s="53"/>
    </row>
    <row r="9" spans="2:10" ht="18.75" customHeight="1" x14ac:dyDescent="0.2">
      <c r="B9" s="48"/>
      <c r="C9" s="48"/>
      <c r="D9" s="49"/>
      <c r="E9" s="50"/>
      <c r="F9" s="51"/>
      <c r="G9" s="51"/>
      <c r="H9" s="52"/>
      <c r="I9" s="53"/>
      <c r="J9" s="53"/>
    </row>
    <row r="10" spans="2:10" ht="18.75" customHeight="1" x14ac:dyDescent="0.2">
      <c r="B10" s="48"/>
      <c r="C10" s="48"/>
      <c r="D10" s="49"/>
      <c r="E10" s="50"/>
      <c r="F10" s="51"/>
      <c r="G10" s="51"/>
      <c r="H10" s="52"/>
      <c r="I10" s="53"/>
      <c r="J10" s="53"/>
    </row>
    <row r="12" spans="2:10" x14ac:dyDescent="0.2">
      <c r="B12" s="45" t="s">
        <v>50</v>
      </c>
      <c r="C12" s="45"/>
      <c r="D12" s="45"/>
    </row>
    <row r="13" spans="2:10" x14ac:dyDescent="0.2">
      <c r="B13" s="12" t="s">
        <v>51</v>
      </c>
      <c r="C13" s="12" t="s">
        <v>52</v>
      </c>
      <c r="D13" s="12"/>
    </row>
    <row r="14" spans="2:10" x14ac:dyDescent="0.2">
      <c r="B14" s="13" t="s">
        <v>53</v>
      </c>
      <c r="C14" s="13" t="s">
        <v>54</v>
      </c>
      <c r="D14" s="13"/>
    </row>
    <row r="15" spans="2:10" x14ac:dyDescent="0.2">
      <c r="B15" s="12" t="s">
        <v>55</v>
      </c>
      <c r="C15" s="12" t="s">
        <v>56</v>
      </c>
      <c r="D15" s="12"/>
    </row>
    <row r="16" spans="2:10" x14ac:dyDescent="0.2">
      <c r="B16" s="13" t="s">
        <v>57</v>
      </c>
      <c r="C16" s="13" t="s">
        <v>58</v>
      </c>
      <c r="D16" s="13"/>
    </row>
    <row r="17" spans="2:4" x14ac:dyDescent="0.2">
      <c r="B17" s="12" t="s">
        <v>59</v>
      </c>
      <c r="C17" s="12" t="s">
        <v>60</v>
      </c>
      <c r="D17" s="12" t="s">
        <v>61</v>
      </c>
    </row>
    <row r="18" spans="2:4" x14ac:dyDescent="0.2">
      <c r="B18" s="13" t="s">
        <v>62</v>
      </c>
      <c r="C18" s="13" t="s">
        <v>63</v>
      </c>
      <c r="D18" s="13" t="s">
        <v>64</v>
      </c>
    </row>
    <row r="19" spans="2:4" x14ac:dyDescent="0.2">
      <c r="B19" s="12" t="s">
        <v>65</v>
      </c>
      <c r="C19" s="12" t="s">
        <v>66</v>
      </c>
      <c r="D19" s="12" t="s">
        <v>67</v>
      </c>
    </row>
    <row r="20" spans="2:4" x14ac:dyDescent="0.2">
      <c r="B20" s="13" t="s">
        <v>68</v>
      </c>
      <c r="C20" s="13" t="s">
        <v>69</v>
      </c>
      <c r="D20" s="13" t="s">
        <v>64</v>
      </c>
    </row>
    <row r="21" spans="2:4" ht="13.5" thickBot="1" x14ac:dyDescent="0.25">
      <c r="B21" s="14" t="s">
        <v>70</v>
      </c>
      <c r="C21" s="14" t="s">
        <v>71</v>
      </c>
      <c r="D21" s="14"/>
    </row>
  </sheetData>
  <mergeCells count="1">
    <mergeCell ref="B12:D1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2"/>
  <sheetViews>
    <sheetView zoomScale="91" zoomScaleNormal="100" workbookViewId="0">
      <selection activeCell="I8" sqref="I8"/>
    </sheetView>
  </sheetViews>
  <sheetFormatPr defaultRowHeight="12.75" x14ac:dyDescent="0.2"/>
  <cols>
    <col min="1" max="1" width="3" customWidth="1"/>
    <col min="2" max="2" width="19.85546875" customWidth="1"/>
    <col min="3" max="3" width="14.140625" customWidth="1"/>
    <col min="4" max="5" width="8.5703125" customWidth="1"/>
    <col min="6" max="6" width="11" bestFit="1" customWidth="1"/>
    <col min="7" max="7" width="12.42578125" customWidth="1"/>
    <col min="8" max="8" width="9" customWidth="1"/>
    <col min="14" max="14" width="14.5703125" customWidth="1"/>
    <col min="15" max="15" width="15" customWidth="1"/>
    <col min="17" max="17" width="9.5703125" customWidth="1"/>
  </cols>
  <sheetData>
    <row r="2" spans="2:12" ht="18" x14ac:dyDescent="0.25">
      <c r="B2" s="15" t="s">
        <v>73</v>
      </c>
      <c r="C2" s="6"/>
    </row>
    <row r="4" spans="2:12" x14ac:dyDescent="0.2">
      <c r="B4" s="4" t="s">
        <v>74</v>
      </c>
      <c r="C4" s="5"/>
    </row>
    <row r="5" spans="2:12" x14ac:dyDescent="0.2">
      <c r="B5" s="11" t="s">
        <v>4</v>
      </c>
      <c r="C5" s="22"/>
      <c r="D5" s="22"/>
      <c r="E5" s="22">
        <v>2030</v>
      </c>
      <c r="F5" s="22">
        <v>2035</v>
      </c>
      <c r="G5" s="22">
        <v>2040</v>
      </c>
      <c r="H5" s="22">
        <v>2045</v>
      </c>
      <c r="I5" s="22">
        <v>2050</v>
      </c>
    </row>
    <row r="6" spans="2:12" ht="36.75" customHeight="1" x14ac:dyDescent="0.2">
      <c r="B6" s="1" t="s">
        <v>75</v>
      </c>
      <c r="C6" s="47" t="s">
        <v>76</v>
      </c>
      <c r="D6" s="47"/>
      <c r="E6" s="47"/>
      <c r="F6" s="47"/>
      <c r="G6" s="47"/>
      <c r="H6" s="47"/>
      <c r="I6" s="47"/>
    </row>
    <row r="7" spans="2:12" ht="15.75" customHeight="1" x14ac:dyDescent="0.2">
      <c r="B7" s="10" t="str">
        <f>SEC_Comm!C7</f>
        <v>DEM_1</v>
      </c>
      <c r="C7" s="20"/>
      <c r="D7" s="21"/>
      <c r="E7" s="21">
        <v>15.48</v>
      </c>
      <c r="F7" s="21">
        <v>16.2</v>
      </c>
      <c r="G7" s="21">
        <v>16.920000000000002</v>
      </c>
      <c r="H7" s="21">
        <v>17.64</v>
      </c>
      <c r="I7" s="21">
        <v>18.72</v>
      </c>
      <c r="K7" s="25"/>
      <c r="L7" s="36"/>
    </row>
    <row r="8" spans="2:12" ht="15.75" customHeight="1" x14ac:dyDescent="0.2">
      <c r="B8" s="10"/>
      <c r="C8" s="20"/>
      <c r="D8" s="21"/>
      <c r="E8" s="21"/>
      <c r="F8" s="21"/>
      <c r="G8" s="21"/>
      <c r="H8" s="21"/>
      <c r="I8" s="21"/>
      <c r="K8" s="25"/>
    </row>
    <row r="9" spans="2:12" ht="15.75" customHeight="1" x14ac:dyDescent="0.2">
      <c r="B9" s="10"/>
      <c r="C9" s="20"/>
      <c r="D9" s="21"/>
      <c r="E9" s="21"/>
      <c r="F9" s="21"/>
      <c r="G9" s="21"/>
      <c r="H9" s="21"/>
      <c r="I9" s="21"/>
      <c r="K9" s="25"/>
    </row>
    <row r="10" spans="2:12" ht="15.75" customHeight="1" x14ac:dyDescent="0.2">
      <c r="B10" s="10"/>
      <c r="C10" s="20"/>
      <c r="D10" s="21"/>
      <c r="E10" s="21"/>
      <c r="F10" s="21"/>
      <c r="G10" s="21"/>
      <c r="H10" s="21"/>
      <c r="I10" s="21"/>
      <c r="K10" s="25"/>
    </row>
    <row r="11" spans="2:12" ht="15.75" customHeight="1" x14ac:dyDescent="0.2">
      <c r="B11" s="10"/>
      <c r="C11" s="20"/>
      <c r="D11" s="21"/>
      <c r="E11" s="21"/>
      <c r="F11" s="21"/>
      <c r="G11" s="21"/>
      <c r="H11" s="21"/>
      <c r="I11" s="21"/>
      <c r="K11" s="25"/>
    </row>
    <row r="12" spans="2:12" ht="15.75" customHeight="1" x14ac:dyDescent="0.2">
      <c r="B12" s="10"/>
      <c r="C12" s="20"/>
      <c r="D12" s="21"/>
      <c r="E12" s="21"/>
      <c r="F12" s="21"/>
      <c r="G12" s="21"/>
      <c r="H12" s="21"/>
      <c r="I12" s="21"/>
      <c r="K12" s="25"/>
    </row>
    <row r="13" spans="2:12" ht="15.75" customHeight="1" x14ac:dyDescent="0.2">
      <c r="K13" s="2"/>
    </row>
    <row r="14" spans="2:12" ht="15.75" customHeight="1" x14ac:dyDescent="0.2"/>
    <row r="15" spans="2:12" x14ac:dyDescent="0.2">
      <c r="B15" s="46" t="s">
        <v>77</v>
      </c>
      <c r="C15" s="46"/>
    </row>
    <row r="16" spans="2:12" x14ac:dyDescent="0.2">
      <c r="C16" s="33">
        <v>0.09</v>
      </c>
      <c r="D16" s="34" t="s">
        <v>78</v>
      </c>
    </row>
    <row r="17" spans="3:10" x14ac:dyDescent="0.2">
      <c r="C17" s="19"/>
    </row>
    <row r="20" spans="3:10" x14ac:dyDescent="0.2">
      <c r="J20" s="2"/>
    </row>
    <row r="22" spans="3:10" ht="13.7" customHeight="1" x14ac:dyDescent="0.2"/>
  </sheetData>
  <mergeCells count="2">
    <mergeCell ref="B15:C15"/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702-ED26-45E6-B61B-BC215E5227A4}">
  <sheetPr>
    <tabColor rgb="FFFF0000"/>
  </sheetPr>
  <dimension ref="B3:E6"/>
  <sheetViews>
    <sheetView workbookViewId="0">
      <selection activeCell="C19" sqref="C19"/>
    </sheetView>
  </sheetViews>
  <sheetFormatPr defaultRowHeight="12.75" x14ac:dyDescent="0.2"/>
  <cols>
    <col min="2" max="2" width="17.5703125" bestFit="1" customWidth="1"/>
    <col min="3" max="3" width="26.5703125" customWidth="1"/>
  </cols>
  <sheetData>
    <row r="3" spans="2:5" x14ac:dyDescent="0.2">
      <c r="C3" s="3" t="s">
        <v>81</v>
      </c>
    </row>
    <row r="4" spans="2:5" ht="18.75" customHeight="1" x14ac:dyDescent="0.2">
      <c r="B4" s="38" t="s">
        <v>33</v>
      </c>
      <c r="C4" s="38" t="s">
        <v>4</v>
      </c>
      <c r="D4" s="38" t="s">
        <v>79</v>
      </c>
      <c r="E4" s="38" t="s">
        <v>80</v>
      </c>
    </row>
    <row r="5" spans="2:5" ht="34.5" customHeight="1" x14ac:dyDescent="0.2">
      <c r="B5" s="37" t="s">
        <v>72</v>
      </c>
      <c r="C5" s="37" t="s">
        <v>82</v>
      </c>
      <c r="D5" s="37" t="s">
        <v>83</v>
      </c>
      <c r="E5" s="37"/>
    </row>
    <row r="6" spans="2:5" ht="18.95" customHeight="1" x14ac:dyDescent="0.2">
      <c r="B6" s="39" t="str">
        <f>SEC_Processes!D7</f>
        <v>ELE_DMD</v>
      </c>
      <c r="C6" s="39" t="s">
        <v>84</v>
      </c>
      <c r="D6" s="39">
        <v>69</v>
      </c>
      <c r="E6" s="39">
        <v>53</v>
      </c>
    </row>
  </sheetData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DEMAND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2026-06-22T15:13:55Z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